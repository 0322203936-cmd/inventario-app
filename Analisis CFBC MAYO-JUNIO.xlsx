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isus\Desktop\APLICACION CHOFERES\"/>
    </mc:Choice>
  </mc:AlternateContent>
  <xr:revisionPtr revIDLastSave="0" documentId="13_ncr:1_{E2A83617-7F90-4A35-AC90-88DDCE02737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oja1" sheetId="1" r:id="rId1"/>
    <sheet name="data" sheetId="3" r:id="rId2"/>
  </sheets>
  <definedNames>
    <definedName name="_xlnm._FilterDatabase" localSheetId="0" hidden="1">Hoja1!$A$1:$L$1024</definedName>
  </definedNames>
  <calcPr calcId="191029"/>
</workbook>
</file>

<file path=xl/calcChain.xml><?xml version="1.0" encoding="utf-8"?>
<calcChain xmlns="http://schemas.openxmlformats.org/spreadsheetml/2006/main">
  <c r="F1225" i="1" l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L1176" i="1" l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103" i="1" l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L1101" i="1" l="1"/>
  <c r="L1102" i="1"/>
  <c r="K1101" i="1"/>
  <c r="K1102" i="1"/>
  <c r="F1101" i="1"/>
  <c r="F1102" i="1"/>
  <c r="L1072" i="1" l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L1025" i="1" l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962" i="1" l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958" i="1" l="1"/>
  <c r="L958" i="1" s="1"/>
  <c r="K959" i="1"/>
  <c r="L959" i="1" s="1"/>
  <c r="K960" i="1"/>
  <c r="L960" i="1" s="1"/>
  <c r="K961" i="1"/>
  <c r="L961" i="1" s="1"/>
  <c r="F958" i="1"/>
  <c r="F959" i="1"/>
  <c r="F960" i="1"/>
  <c r="F961" i="1"/>
  <c r="K931" i="1" l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06" i="1" l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852" i="1" l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K725" i="1" l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K648" i="1" l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522" i="1" l="1"/>
  <c r="K522" i="1"/>
  <c r="L522" i="1" s="1"/>
  <c r="K535" i="1" l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462" i="1" l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386" i="1" l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K1" i="1" l="1"/>
  <c r="K323" i="1" l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K261" i="1" l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57" i="1" l="1"/>
  <c r="K57" i="1"/>
  <c r="L57" i="1" s="1"/>
  <c r="K162" i="1" l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K2" i="1" l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" i="1" l="1"/>
</calcChain>
</file>

<file path=xl/sharedStrings.xml><?xml version="1.0" encoding="utf-8"?>
<sst xmlns="http://schemas.openxmlformats.org/spreadsheetml/2006/main" count="1358" uniqueCount="58">
  <si>
    <t>Salida</t>
  </si>
  <si>
    <t>Producto</t>
  </si>
  <si>
    <t>Unidades</t>
  </si>
  <si>
    <t>Precio Unidad</t>
  </si>
  <si>
    <t>Venta Total</t>
  </si>
  <si>
    <t>SC LOMAS DE SANTA FE</t>
  </si>
  <si>
    <t>BOUQUET ROSAS 12 T</t>
  </si>
  <si>
    <t>BOUQUET ROSAS 6 T</t>
  </si>
  <si>
    <t>BQT MINI CLAVEL 8 T</t>
  </si>
  <si>
    <t>BOUQUET GIRASOL 6 T</t>
  </si>
  <si>
    <t>BOUQUET MIXTO 12 T</t>
  </si>
  <si>
    <t>BOUQUET MIXTO 15 T</t>
  </si>
  <si>
    <t>BOUQUET MIXTO 9 T</t>
  </si>
  <si>
    <t>BQT SNAPDRAGON 8 T</t>
  </si>
  <si>
    <t>BQT LILI ASIATIC 6 T</t>
  </si>
  <si>
    <t>BQT ALSTROEMERI 8 T</t>
  </si>
  <si>
    <t>SC ENSENADA CENTRO</t>
  </si>
  <si>
    <t>SC ENSENADA</t>
  </si>
  <si>
    <t>SC ROSARITO</t>
  </si>
  <si>
    <t>SC PLAYAS DE TIJUANA</t>
  </si>
  <si>
    <t>SC MACROPLAZA INSURGENTES</t>
  </si>
  <si>
    <t>SC DIAZ ORDAZ</t>
  </si>
  <si>
    <t>SC TIJUANA HIPODROMO</t>
  </si>
  <si>
    <t>SC PACIFICO</t>
  </si>
  <si>
    <t>SC TIJUANA 2000</t>
  </si>
  <si>
    <t>SEM</t>
  </si>
  <si>
    <t>ARTICULO</t>
  </si>
  <si>
    <t>12 ROSAS</t>
  </si>
  <si>
    <t>6 ROSAS</t>
  </si>
  <si>
    <t>Precios Finca</t>
  </si>
  <si>
    <t>Diario</t>
  </si>
  <si>
    <t>Viajes Por Ruta</t>
  </si>
  <si>
    <t>Folio contpaq</t>
  </si>
  <si>
    <t>SC MEXICALI NOVENA</t>
  </si>
  <si>
    <t>SC PLAZA SAN PEDRO</t>
  </si>
  <si>
    <t>SC GALERIAS DEL VALLE</t>
  </si>
  <si>
    <t>SC MEXICALI</t>
  </si>
  <si>
    <t>SC TECATE GARITA</t>
  </si>
  <si>
    <t>SC NUEVO MEXICALI</t>
  </si>
  <si>
    <t>Ruta</t>
  </si>
  <si>
    <t>BOUQUETS DOCENA DE ROSAS</t>
  </si>
  <si>
    <t>BOUQUETS MIXTO 18</t>
  </si>
  <si>
    <t>BOUQUETS MEDIA DOCENA DE ROSAS</t>
  </si>
  <si>
    <t>JARRON 18T</t>
  </si>
  <si>
    <t>ID</t>
  </si>
  <si>
    <t>Sucurzal</t>
  </si>
  <si>
    <t>C.Entrega</t>
  </si>
  <si>
    <t>Prueba</t>
  </si>
  <si>
    <t>MXL 2</t>
  </si>
  <si>
    <t>Ruta 2000</t>
  </si>
  <si>
    <t xml:space="preserve">ENS </t>
  </si>
  <si>
    <t>Rutas Playas</t>
  </si>
  <si>
    <t>MXL 1</t>
  </si>
  <si>
    <t>ROSA 12 TALLOS</t>
  </si>
  <si>
    <t>BQT MIXTO M</t>
  </si>
  <si>
    <t>JARRÓN</t>
  </si>
  <si>
    <t>BQT MIXTO PREMIUM</t>
  </si>
  <si>
    <t>BQT ROSA 18 TALLOS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</si>
</sst>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-1540A]yyyy\-mm\-dd;@"/>
    <numFmt numFmtId="165" formatCode="&quot;$&quot;#,##0.00"/>
    <numFmt numFmtId="166" formatCode="yyyy\-mm\-dd;@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sz val="12"/>
      <name val="Arial"/>
      <family val="2"/>
    </font>
    <font>
      <sz val="12"/>
      <name val="Calibri"/>
      <family val="2"/>
    </font>
    <font>
      <b/>
      <sz val="20"/>
      <color theme="1"/>
      <name val="Arial"/>
      <family val="2"/>
    </font>
    <font>
      <b/>
      <sz val="20"/>
      <color rgb="FF000000"/>
      <name val="Arial"/>
      <family val="2"/>
    </font>
    <font>
      <sz val="20"/>
      <color theme="1"/>
      <name val="Arial"/>
      <family val="2"/>
    </font>
    <font>
      <b/>
      <sz val="20"/>
      <name val="Arial"/>
      <family val="2"/>
    </font>
    <font>
      <sz val="14"/>
      <color indexed="8"/>
      <name val="Arial"/>
      <family val="2"/>
    </font>
    <font>
      <sz val="11"/>
      <color rgb="FF333333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11" fillId="0" borderId="0"/>
  </cellStyleXfs>
  <cellXfs count="56">
    <xf numFmtId="0" fontId="0" fillId="0" borderId="0" xfId="0" applyFont="1" applyAlignment="1"/>
    <xf numFmtId="0" fontId="5" fillId="2" borderId="1" xfId="0" applyNumberFormat="1" applyFont="1" applyFill="1" applyBorder="1" applyAlignment="1">
      <alignment horizontal="left" vertical="top"/>
    </xf>
    <xf numFmtId="3" fontId="5" fillId="2" borderId="1" xfId="0" applyNumberFormat="1" applyFont="1" applyFill="1" applyBorder="1" applyAlignment="1">
      <alignment horizontal="right" vertical="top"/>
    </xf>
    <xf numFmtId="49" fontId="5" fillId="2" borderId="1" xfId="0" applyNumberFormat="1" applyFont="1" applyFill="1" applyBorder="1" applyAlignment="1">
      <alignment horizontal="left" vertical="top"/>
    </xf>
    <xf numFmtId="0" fontId="5" fillId="2" borderId="1" xfId="0" applyNumberFormat="1" applyFont="1" applyFill="1" applyBorder="1" applyAlignment="1">
      <alignment horizontal="right" vertical="top"/>
    </xf>
    <xf numFmtId="164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vertical="top"/>
    </xf>
    <xf numFmtId="44" fontId="4" fillId="0" borderId="0" xfId="1" applyFont="1" applyFill="1" applyBorder="1" applyAlignment="1">
      <alignment horizontal="left"/>
    </xf>
    <xf numFmtId="165" fontId="10" fillId="0" borderId="0" xfId="1" applyNumberFormat="1" applyFont="1" applyFill="1" applyBorder="1" applyAlignment="1">
      <alignment horizontal="left"/>
    </xf>
    <xf numFmtId="44" fontId="3" fillId="0" borderId="0" xfId="1" applyFont="1" applyFill="1" applyBorder="1" applyAlignment="1">
      <alignment horizontal="left"/>
    </xf>
    <xf numFmtId="164" fontId="3" fillId="0" borderId="0" xfId="0" applyNumberFormat="1" applyFont="1" applyBorder="1"/>
    <xf numFmtId="0" fontId="3" fillId="0" borderId="0" xfId="0" applyFont="1" applyBorder="1"/>
    <xf numFmtId="0" fontId="3" fillId="0" borderId="0" xfId="0" applyNumberFormat="1" applyFont="1" applyFill="1" applyBorder="1"/>
    <xf numFmtId="164" fontId="5" fillId="2" borderId="1" xfId="0" applyNumberFormat="1" applyFont="1" applyFill="1" applyBorder="1" applyAlignment="1">
      <alignment horizontal="left" vertical="top"/>
    </xf>
    <xf numFmtId="164" fontId="12" fillId="3" borderId="0" xfId="0" applyNumberFormat="1" applyFont="1" applyFill="1" applyBorder="1"/>
    <xf numFmtId="0" fontId="12" fillId="3" borderId="0" xfId="0" applyFont="1" applyFill="1" applyBorder="1"/>
    <xf numFmtId="3" fontId="13" fillId="3" borderId="0" xfId="0" applyNumberFormat="1" applyFont="1" applyFill="1" applyBorder="1" applyAlignment="1">
      <alignment horizontal="center" vertical="top"/>
    </xf>
    <xf numFmtId="0" fontId="13" fillId="3" borderId="0" xfId="0" applyFont="1" applyFill="1" applyBorder="1" applyAlignment="1">
      <alignment horizontal="center" vertical="top"/>
    </xf>
    <xf numFmtId="0" fontId="14" fillId="3" borderId="0" xfId="0" applyFont="1" applyFill="1" applyBorder="1"/>
    <xf numFmtId="0" fontId="12" fillId="3" borderId="0" xfId="0" applyNumberFormat="1" applyFont="1" applyFill="1" applyBorder="1"/>
    <xf numFmtId="44" fontId="13" fillId="3" borderId="0" xfId="1" applyFont="1" applyFill="1" applyBorder="1" applyAlignment="1">
      <alignment horizontal="center"/>
    </xf>
    <xf numFmtId="165" fontId="15" fillId="3" borderId="0" xfId="1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left"/>
    </xf>
    <xf numFmtId="0" fontId="16" fillId="2" borderId="1" xfId="0" applyNumberFormat="1" applyFont="1" applyFill="1" applyBorder="1" applyAlignment="1">
      <alignment horizontal="left" vertical="top"/>
    </xf>
    <xf numFmtId="164" fontId="8" fillId="3" borderId="0" xfId="0" applyNumberFormat="1" applyFont="1" applyFill="1" applyBorder="1"/>
    <xf numFmtId="0" fontId="17" fillId="0" borderId="0" xfId="0" applyFont="1" applyAlignment="1"/>
    <xf numFmtId="0" fontId="0" fillId="5" borderId="2" xfId="1" applyNumberFormat="1" applyFont="1" applyFill="1" applyBorder="1" applyAlignment="1"/>
    <xf numFmtId="0" fontId="7" fillId="5" borderId="2" xfId="0" applyFont="1" applyFill="1" applyBorder="1" applyAlignment="1"/>
    <xf numFmtId="0" fontId="11" fillId="5" borderId="2" xfId="2" applyFill="1" applyBorder="1"/>
    <xf numFmtId="0" fontId="0" fillId="5" borderId="0" xfId="0" applyFont="1" applyFill="1" applyAlignment="1"/>
    <xf numFmtId="0" fontId="2" fillId="5" borderId="0" xfId="0" applyFont="1" applyFill="1" applyAlignment="1"/>
    <xf numFmtId="44" fontId="0" fillId="5" borderId="0" xfId="1" applyFont="1" applyFill="1" applyBorder="1" applyAlignment="1"/>
    <xf numFmtId="0" fontId="0" fillId="5" borderId="0" xfId="1" applyNumberFormat="1" applyFont="1" applyFill="1" applyAlignment="1"/>
    <xf numFmtId="0" fontId="7" fillId="5" borderId="0" xfId="0" applyFont="1" applyFill="1" applyBorder="1" applyAlignment="1"/>
    <xf numFmtId="0" fontId="11" fillId="5" borderId="0" xfId="2" applyFill="1"/>
    <xf numFmtId="0" fontId="0" fillId="5" borderId="0" xfId="0" applyFill="1"/>
    <xf numFmtId="0" fontId="18" fillId="4" borderId="2" xfId="1" applyNumberFormat="1" applyFont="1" applyFill="1" applyBorder="1" applyAlignment="1"/>
    <xf numFmtId="0" fontId="19" fillId="4" borderId="2" xfId="0" applyFont="1" applyFill="1" applyBorder="1" applyAlignment="1"/>
    <xf numFmtId="0" fontId="20" fillId="4" borderId="2" xfId="2" applyFont="1" applyFill="1" applyBorder="1"/>
    <xf numFmtId="0" fontId="2" fillId="5" borderId="2" xfId="0" applyFont="1" applyFill="1" applyBorder="1" applyAlignment="1"/>
    <xf numFmtId="44" fontId="0" fillId="5" borderId="2" xfId="1" applyFont="1" applyFill="1" applyBorder="1" applyAlignment="1"/>
    <xf numFmtId="49" fontId="9" fillId="5" borderId="2" xfId="0" applyNumberFormat="1" applyFont="1" applyFill="1" applyBorder="1" applyAlignment="1">
      <alignment horizontal="left" vertical="top"/>
    </xf>
    <xf numFmtId="0" fontId="0" fillId="5" borderId="2" xfId="0" applyFont="1" applyFill="1" applyBorder="1" applyAlignment="1"/>
    <xf numFmtId="0" fontId="18" fillId="4" borderId="2" xfId="0" applyFont="1" applyFill="1" applyBorder="1" applyAlignment="1"/>
    <xf numFmtId="164" fontId="9" fillId="2" borderId="1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3" fontId="9" fillId="2" borderId="1" xfId="0" applyNumberFormat="1" applyFont="1" applyFill="1" applyBorder="1" applyAlignment="1">
      <alignment horizontal="right" vertical="top"/>
    </xf>
    <xf numFmtId="0" fontId="9" fillId="2" borderId="1" xfId="0" applyNumberFormat="1" applyFont="1" applyFill="1" applyBorder="1" applyAlignment="1">
      <alignment horizontal="right" vertical="top"/>
    </xf>
    <xf numFmtId="166" fontId="9" fillId="2" borderId="1" xfId="0" applyNumberFormat="1" applyFont="1" applyFill="1" applyBorder="1" applyAlignment="1">
      <alignment horizontal="left" vertical="top"/>
    </xf>
    <xf numFmtId="44" fontId="0" fillId="5" borderId="2" xfId="1" applyFont="1" applyFill="1" applyBorder="1"/>
    <xf numFmtId="0" fontId="1" fillId="5" borderId="2" xfId="0" applyFont="1" applyFill="1" applyBorder="1" applyAlignment="1"/>
    <xf numFmtId="49" fontId="9" fillId="2" borderId="2" xfId="0" applyNumberFormat="1" applyFont="1" applyFill="1" applyBorder="1" applyAlignment="1">
      <alignment horizontal="left" vertical="top"/>
    </xf>
    <xf numFmtId="166" fontId="5" fillId="2" borderId="1" xfId="0" applyNumberFormat="1" applyFont="1" applyFill="1" applyBorder="1" applyAlignment="1">
      <alignment horizontal="left" vertical="top"/>
    </xf>
    <xf numFmtId="0" fontId="10" fillId="2" borderId="1" xfId="0" applyNumberFormat="1" applyFont="1" applyFill="1" applyBorder="1" applyAlignment="1">
      <alignment horizontal="right" vertical="top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96EAA4"/>
      <color rgb="FFFF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L1250"/>
  <sheetViews>
    <sheetView tabSelected="1" zoomScale="70" zoomScaleNormal="70" workbookViewId="0">
      <pane ySplit="1" topLeftCell="A1176" activePane="bottomLeft" state="frozen"/>
      <selection pane="bottomLeft" activeCell="F1224" sqref="F1224:F1250"/>
    </sheetView>
  </sheetViews>
  <sheetFormatPr baseColWidth="10" defaultColWidth="14.42578125" defaultRowHeight="15" customHeight="1" x14ac:dyDescent="0.2"/>
  <cols>
    <col min="1" max="1" width="15.5703125" style="11" bestFit="1" customWidth="1"/>
    <col min="2" max="2" width="17.140625" style="11" hidden="1" customWidth="1"/>
    <col min="3" max="4" width="21.85546875" style="6" hidden="1" customWidth="1"/>
    <col min="5" max="5" width="12.5703125" style="6" hidden="1" customWidth="1"/>
    <col min="6" max="6" width="44.85546875" style="6" bestFit="1" customWidth="1"/>
    <col min="7" max="7" width="19" style="12" bestFit="1" customWidth="1"/>
    <col min="8" max="8" width="12.28515625" style="12" customWidth="1"/>
    <col min="9" max="9" width="33" style="12" customWidth="1"/>
    <col min="10" max="10" width="13.7109375" style="13" customWidth="1"/>
    <col min="11" max="11" width="35.7109375" style="10" bestFit="1" customWidth="1"/>
    <col min="12" max="12" width="28.28515625" style="9" bestFit="1" customWidth="1"/>
    <col min="13" max="16384" width="14.42578125" style="6"/>
  </cols>
  <sheetData>
    <row r="1" spans="1:12" s="23" customFormat="1" ht="44.25" customHeight="1" x14ac:dyDescent="0.4">
      <c r="A1" s="25" t="s">
        <v>30</v>
      </c>
      <c r="B1" s="15" t="s">
        <v>39</v>
      </c>
      <c r="C1" s="16" t="s">
        <v>31</v>
      </c>
      <c r="D1" s="16" t="s">
        <v>47</v>
      </c>
      <c r="E1" s="17" t="s">
        <v>25</v>
      </c>
      <c r="F1" s="18" t="str">
        <f>IFERROR(VLOOKUP(I1,data!A:B,2,FALSE),"Nombre Tienda/Club")</f>
        <v>Nombre Tienda/Club</v>
      </c>
      <c r="G1" s="18" t="s">
        <v>0</v>
      </c>
      <c r="H1" s="19" t="s">
        <v>32</v>
      </c>
      <c r="I1" s="16" t="s">
        <v>1</v>
      </c>
      <c r="J1" s="20" t="s">
        <v>2</v>
      </c>
      <c r="K1" s="21" t="str">
        <f>IFERROR(VLOOKUP(I1,data!E:F,2,FALSE),"Precio Unidad")</f>
        <v>Precio Unidad</v>
      </c>
      <c r="L1" s="22" t="s">
        <v>4</v>
      </c>
    </row>
    <row r="2" spans="1:12" ht="15" customHeight="1" x14ac:dyDescent="0.2">
      <c r="A2" s="14">
        <v>46144</v>
      </c>
      <c r="B2" s="5"/>
      <c r="F2" s="7" t="str">
        <f>IFERROR(VLOOKUP(G2, data!A:B, 2, FALSE), "Tienda")</f>
        <v>SC TECATE GARITA</v>
      </c>
      <c r="G2" s="24">
        <v>5295</v>
      </c>
      <c r="H2" s="2">
        <v>540</v>
      </c>
      <c r="I2" s="3" t="s">
        <v>10</v>
      </c>
      <c r="J2" s="4">
        <v>8</v>
      </c>
      <c r="K2" s="8">
        <f>IFERROR(VLOOKUP(I2, data!E:F, 2, FALSE), "Precio Unidad")</f>
        <v>151</v>
      </c>
      <c r="L2" s="9">
        <f t="shared" ref="L2:L41" si="0">K2*J2</f>
        <v>1208</v>
      </c>
    </row>
    <row r="3" spans="1:12" ht="15" customHeight="1" x14ac:dyDescent="0.2">
      <c r="A3" s="14">
        <v>46144</v>
      </c>
      <c r="B3" s="5"/>
      <c r="F3" s="7" t="str">
        <f>IFERROR(VLOOKUP(G3, data!A:B, 2, FALSE), "Tienda")</f>
        <v>SC TECATE GARITA</v>
      </c>
      <c r="G3" s="24">
        <v>5295</v>
      </c>
      <c r="H3" s="2">
        <v>540</v>
      </c>
      <c r="I3" s="3" t="s">
        <v>12</v>
      </c>
      <c r="J3" s="4">
        <v>20</v>
      </c>
      <c r="K3" s="8">
        <f>IFERROR(VLOOKUP(I3, data!E:F, 2, FALSE), "Precio Unidad")</f>
        <v>95</v>
      </c>
      <c r="L3" s="9">
        <f t="shared" si="0"/>
        <v>1900</v>
      </c>
    </row>
    <row r="4" spans="1:12" ht="15" customHeight="1" x14ac:dyDescent="0.2">
      <c r="A4" s="14">
        <v>46144</v>
      </c>
      <c r="B4" s="5"/>
      <c r="F4" s="7" t="str">
        <f>IFERROR(VLOOKUP(G4, data!A:B, 2, FALSE), "Tienda")</f>
        <v>SC TECATE GARITA</v>
      </c>
      <c r="G4" s="24">
        <v>5295</v>
      </c>
      <c r="H4" s="2">
        <v>540</v>
      </c>
      <c r="I4" s="3" t="s">
        <v>13</v>
      </c>
      <c r="J4" s="4">
        <v>8</v>
      </c>
      <c r="K4" s="8">
        <f>IFERROR(VLOOKUP(I4, data!E:F, 2, FALSE), "Precio Unidad")</f>
        <v>63</v>
      </c>
      <c r="L4" s="9">
        <f t="shared" si="0"/>
        <v>504</v>
      </c>
    </row>
    <row r="5" spans="1:12" ht="15" customHeight="1" x14ac:dyDescent="0.2">
      <c r="A5" s="14">
        <v>46144</v>
      </c>
      <c r="B5" s="5"/>
      <c r="F5" s="7" t="str">
        <f>IFERROR(VLOOKUP(G5, data!A:B, 2, FALSE), "Tienda")</f>
        <v>SC NUEVO MEXICALI</v>
      </c>
      <c r="G5" s="24">
        <v>5041</v>
      </c>
      <c r="H5" s="2">
        <v>541</v>
      </c>
      <c r="I5" s="3" t="s">
        <v>10</v>
      </c>
      <c r="J5" s="4">
        <v>8</v>
      </c>
      <c r="K5" s="8">
        <f>IFERROR(VLOOKUP(I5, data!E:F, 2, FALSE), "Precio Unidad")</f>
        <v>151</v>
      </c>
      <c r="L5" s="9">
        <f t="shared" si="0"/>
        <v>1208</v>
      </c>
    </row>
    <row r="6" spans="1:12" ht="15" customHeight="1" x14ac:dyDescent="0.2">
      <c r="A6" s="14">
        <v>46144</v>
      </c>
      <c r="B6" s="5"/>
      <c r="F6" s="7" t="str">
        <f>IFERROR(VLOOKUP(G6, data!A:B, 2, FALSE), "Tienda")</f>
        <v>SC NUEVO MEXICALI</v>
      </c>
      <c r="G6" s="24">
        <v>5041</v>
      </c>
      <c r="H6" s="2">
        <v>541</v>
      </c>
      <c r="I6" s="3" t="s">
        <v>11</v>
      </c>
      <c r="J6" s="4">
        <v>8</v>
      </c>
      <c r="K6" s="8">
        <f>IFERROR(VLOOKUP(I6, data!E:F, 2, FALSE), "Precio Unidad")</f>
        <v>177</v>
      </c>
      <c r="L6" s="9">
        <f t="shared" si="0"/>
        <v>1416</v>
      </c>
    </row>
    <row r="7" spans="1:12" ht="15" customHeight="1" x14ac:dyDescent="0.2">
      <c r="A7" s="14">
        <v>46144</v>
      </c>
      <c r="B7" s="5"/>
      <c r="F7" s="7" t="str">
        <f>IFERROR(VLOOKUP(G7, data!A:B, 2, FALSE), "Tienda")</f>
        <v>SC NUEVO MEXICALI</v>
      </c>
      <c r="G7" s="24">
        <v>5041</v>
      </c>
      <c r="H7" s="2">
        <v>541</v>
      </c>
      <c r="I7" s="3" t="s">
        <v>12</v>
      </c>
      <c r="J7" s="4">
        <v>20</v>
      </c>
      <c r="K7" s="8">
        <f>IFERROR(VLOOKUP(I7, data!E:F, 2, FALSE), "Precio Unidad")</f>
        <v>95</v>
      </c>
      <c r="L7" s="9">
        <f t="shared" si="0"/>
        <v>1900</v>
      </c>
    </row>
    <row r="8" spans="1:12" ht="15" customHeight="1" x14ac:dyDescent="0.2">
      <c r="A8" s="14">
        <v>46144</v>
      </c>
      <c r="B8" s="5"/>
      <c r="F8" s="7" t="str">
        <f>IFERROR(VLOOKUP(G8, data!A:B, 2, FALSE), "Tienda")</f>
        <v>SC NUEVO MEXICALI</v>
      </c>
      <c r="G8" s="24">
        <v>5041</v>
      </c>
      <c r="H8" s="2">
        <v>541</v>
      </c>
      <c r="I8" s="3" t="s">
        <v>13</v>
      </c>
      <c r="J8" s="4">
        <v>8</v>
      </c>
      <c r="K8" s="8">
        <f>IFERROR(VLOOKUP(I8, data!E:F, 2, FALSE), "Precio Unidad")</f>
        <v>63</v>
      </c>
      <c r="L8" s="9">
        <f t="shared" si="0"/>
        <v>504</v>
      </c>
    </row>
    <row r="9" spans="1:12" ht="15" customHeight="1" x14ac:dyDescent="0.2">
      <c r="A9" s="14">
        <v>46144</v>
      </c>
      <c r="B9" s="5"/>
      <c r="F9" s="7" t="str">
        <f>IFERROR(VLOOKUP(G9, data!A:B, 2, FALSE), "Tienda")</f>
        <v>SC GALERIAS DEL VALLE</v>
      </c>
      <c r="G9" s="24">
        <v>4026</v>
      </c>
      <c r="H9" s="2">
        <v>542</v>
      </c>
      <c r="I9" s="3" t="s">
        <v>10</v>
      </c>
      <c r="J9" s="4">
        <v>8</v>
      </c>
      <c r="K9" s="8">
        <f>IFERROR(VLOOKUP(I9, data!E:F, 2, FALSE), "Precio Unidad")</f>
        <v>151</v>
      </c>
      <c r="L9" s="9">
        <f t="shared" si="0"/>
        <v>1208</v>
      </c>
    </row>
    <row r="10" spans="1:12" ht="15" customHeight="1" x14ac:dyDescent="0.2">
      <c r="A10" s="14">
        <v>46144</v>
      </c>
      <c r="B10" s="5"/>
      <c r="F10" s="7" t="str">
        <f>IFERROR(VLOOKUP(G10, data!A:B, 2, FALSE), "Tienda")</f>
        <v>SC GALERIAS DEL VALLE</v>
      </c>
      <c r="G10" s="24">
        <v>4026</v>
      </c>
      <c r="H10" s="2">
        <v>542</v>
      </c>
      <c r="I10" s="3" t="s">
        <v>12</v>
      </c>
      <c r="J10" s="4">
        <v>20</v>
      </c>
      <c r="K10" s="8">
        <f>IFERROR(VLOOKUP(I10, data!E:F, 2, FALSE), "Precio Unidad")</f>
        <v>95</v>
      </c>
      <c r="L10" s="9">
        <f t="shared" si="0"/>
        <v>1900</v>
      </c>
    </row>
    <row r="11" spans="1:12" ht="15" customHeight="1" x14ac:dyDescent="0.2">
      <c r="A11" s="14">
        <v>46144</v>
      </c>
      <c r="B11" s="5"/>
      <c r="F11" s="7" t="str">
        <f>IFERROR(VLOOKUP(G11, data!A:B, 2, FALSE), "Tienda")</f>
        <v>SC GALERIAS DEL VALLE</v>
      </c>
      <c r="G11" s="24">
        <v>4026</v>
      </c>
      <c r="H11" s="2">
        <v>542</v>
      </c>
      <c r="I11" s="3" t="s">
        <v>13</v>
      </c>
      <c r="J11" s="4">
        <v>8</v>
      </c>
      <c r="K11" s="8">
        <f>IFERROR(VLOOKUP(I11, data!E:F, 2, FALSE), "Precio Unidad")</f>
        <v>63</v>
      </c>
      <c r="L11" s="9">
        <f t="shared" si="0"/>
        <v>504</v>
      </c>
    </row>
    <row r="12" spans="1:12" ht="15" customHeight="1" x14ac:dyDescent="0.2">
      <c r="A12" s="14">
        <v>46144</v>
      </c>
      <c r="B12" s="5"/>
      <c r="F12" s="7" t="str">
        <f>IFERROR(VLOOKUP(G12, data!A:B, 2, FALSE), "Tienda")</f>
        <v>SC MEXICALI</v>
      </c>
      <c r="G12" s="24">
        <v>2304</v>
      </c>
      <c r="H12" s="2">
        <v>543</v>
      </c>
      <c r="I12" s="3" t="s">
        <v>10</v>
      </c>
      <c r="J12" s="4">
        <v>8</v>
      </c>
      <c r="K12" s="8">
        <f>IFERROR(VLOOKUP(I12, data!E:F, 2, FALSE), "Precio Unidad")</f>
        <v>151</v>
      </c>
      <c r="L12" s="9">
        <f t="shared" si="0"/>
        <v>1208</v>
      </c>
    </row>
    <row r="13" spans="1:12" ht="15" customHeight="1" x14ac:dyDescent="0.2">
      <c r="A13" s="14">
        <v>46144</v>
      </c>
      <c r="B13" s="5"/>
      <c r="F13" s="7" t="str">
        <f>IFERROR(VLOOKUP(G13, data!A:B, 2, FALSE), "Tienda")</f>
        <v>SC MEXICALI</v>
      </c>
      <c r="G13" s="24">
        <v>2304</v>
      </c>
      <c r="H13" s="2">
        <v>543</v>
      </c>
      <c r="I13" s="3" t="s">
        <v>11</v>
      </c>
      <c r="J13" s="4">
        <v>8</v>
      </c>
      <c r="K13" s="8">
        <f>IFERROR(VLOOKUP(I13, data!E:F, 2, FALSE), "Precio Unidad")</f>
        <v>177</v>
      </c>
      <c r="L13" s="9">
        <f t="shared" si="0"/>
        <v>1416</v>
      </c>
    </row>
    <row r="14" spans="1:12" ht="15" customHeight="1" x14ac:dyDescent="0.2">
      <c r="A14" s="14">
        <v>46144</v>
      </c>
      <c r="B14" s="5"/>
      <c r="F14" s="7" t="str">
        <f>IFERROR(VLOOKUP(G14, data!A:B, 2, FALSE), "Tienda")</f>
        <v>SC MEXICALI</v>
      </c>
      <c r="G14" s="24">
        <v>2304</v>
      </c>
      <c r="H14" s="2">
        <v>543</v>
      </c>
      <c r="I14" s="3" t="s">
        <v>12</v>
      </c>
      <c r="J14" s="4">
        <v>20</v>
      </c>
      <c r="K14" s="8">
        <f>IFERROR(VLOOKUP(I14, data!E:F, 2, FALSE), "Precio Unidad")</f>
        <v>95</v>
      </c>
      <c r="L14" s="9">
        <f t="shared" si="0"/>
        <v>1900</v>
      </c>
    </row>
    <row r="15" spans="1:12" ht="15" customHeight="1" x14ac:dyDescent="0.2">
      <c r="A15" s="14">
        <v>46144</v>
      </c>
      <c r="B15" s="5"/>
      <c r="F15" s="7" t="str">
        <f>IFERROR(VLOOKUP(G15, data!A:B, 2, FALSE), "Tienda")</f>
        <v>SC MEXICALI</v>
      </c>
      <c r="G15" s="24">
        <v>2304</v>
      </c>
      <c r="H15" s="2">
        <v>543</v>
      </c>
      <c r="I15" s="3" t="s">
        <v>13</v>
      </c>
      <c r="J15" s="4">
        <v>8</v>
      </c>
      <c r="K15" s="8">
        <f>IFERROR(VLOOKUP(I15, data!E:F, 2, FALSE), "Precio Unidad")</f>
        <v>63</v>
      </c>
      <c r="L15" s="9">
        <f t="shared" si="0"/>
        <v>504</v>
      </c>
    </row>
    <row r="16" spans="1:12" ht="15" customHeight="1" x14ac:dyDescent="0.2">
      <c r="A16" s="14">
        <v>46144</v>
      </c>
      <c r="B16" s="5"/>
      <c r="F16" s="7" t="str">
        <f>IFERROR(VLOOKUP(G16, data!A:B, 2, FALSE), "Tienda")</f>
        <v>SC MEXICALI NOVENA</v>
      </c>
      <c r="G16" s="24">
        <v>1617</v>
      </c>
      <c r="H16" s="2">
        <v>544</v>
      </c>
      <c r="I16" s="3" t="s">
        <v>10</v>
      </c>
      <c r="J16" s="4">
        <v>16</v>
      </c>
      <c r="K16" s="8">
        <f>IFERROR(VLOOKUP(I16, data!E:F, 2, FALSE), "Precio Unidad")</f>
        <v>151</v>
      </c>
      <c r="L16" s="9">
        <f t="shared" si="0"/>
        <v>2416</v>
      </c>
    </row>
    <row r="17" spans="1:12" ht="15" customHeight="1" x14ac:dyDescent="0.2">
      <c r="A17" s="14">
        <v>46144</v>
      </c>
      <c r="B17" s="5"/>
      <c r="F17" s="7" t="str">
        <f>IFERROR(VLOOKUP(G17, data!A:B, 2, FALSE), "Tienda")</f>
        <v>SC MEXICALI NOVENA</v>
      </c>
      <c r="G17" s="24">
        <v>1617</v>
      </c>
      <c r="H17" s="2">
        <v>544</v>
      </c>
      <c r="I17" s="3" t="s">
        <v>11</v>
      </c>
      <c r="J17" s="4">
        <v>8</v>
      </c>
      <c r="K17" s="8">
        <f>IFERROR(VLOOKUP(I17, data!E:F, 2, FALSE), "Precio Unidad")</f>
        <v>177</v>
      </c>
      <c r="L17" s="9">
        <f t="shared" si="0"/>
        <v>1416</v>
      </c>
    </row>
    <row r="18" spans="1:12" ht="15" customHeight="1" x14ac:dyDescent="0.2">
      <c r="A18" s="14">
        <v>46144</v>
      </c>
      <c r="B18" s="5"/>
      <c r="F18" s="7" t="str">
        <f>IFERROR(VLOOKUP(G18, data!A:B, 2, FALSE), "Tienda")</f>
        <v>SC MEXICALI NOVENA</v>
      </c>
      <c r="G18" s="24">
        <v>1617</v>
      </c>
      <c r="H18" s="2">
        <v>544</v>
      </c>
      <c r="I18" s="3" t="s">
        <v>12</v>
      </c>
      <c r="J18" s="4">
        <v>10</v>
      </c>
      <c r="K18" s="8">
        <f>IFERROR(VLOOKUP(I18, data!E:F, 2, FALSE), "Precio Unidad")</f>
        <v>95</v>
      </c>
      <c r="L18" s="9">
        <f t="shared" si="0"/>
        <v>950</v>
      </c>
    </row>
    <row r="19" spans="1:12" ht="15" customHeight="1" x14ac:dyDescent="0.2">
      <c r="A19" s="14">
        <v>46144</v>
      </c>
      <c r="B19" s="5"/>
      <c r="F19" s="7" t="str">
        <f>IFERROR(VLOOKUP(G19, data!A:B, 2, FALSE), "Tienda")</f>
        <v>SC MEXICALI NOVENA</v>
      </c>
      <c r="G19" s="24">
        <v>1617</v>
      </c>
      <c r="H19" s="2">
        <v>544</v>
      </c>
      <c r="I19" s="3" t="s">
        <v>13</v>
      </c>
      <c r="J19" s="4">
        <v>16</v>
      </c>
      <c r="K19" s="8">
        <f>IFERROR(VLOOKUP(I19, data!E:F, 2, FALSE), "Precio Unidad")</f>
        <v>63</v>
      </c>
      <c r="L19" s="9">
        <f t="shared" si="0"/>
        <v>1008</v>
      </c>
    </row>
    <row r="20" spans="1:12" ht="15" customHeight="1" x14ac:dyDescent="0.2">
      <c r="A20" s="14">
        <v>46144</v>
      </c>
      <c r="B20" s="5"/>
      <c r="F20" s="7" t="str">
        <f>IFERROR(VLOOKUP(G20, data!A:B, 2, FALSE), "Tienda")</f>
        <v>SC PLAZA SAN PEDRO</v>
      </c>
      <c r="G20" s="24">
        <v>1140</v>
      </c>
      <c r="H20" s="2">
        <v>545</v>
      </c>
      <c r="I20" s="3" t="s">
        <v>10</v>
      </c>
      <c r="J20" s="4">
        <v>8</v>
      </c>
      <c r="K20" s="8">
        <f>IFERROR(VLOOKUP(I20, data!E:F, 2, FALSE), "Precio Unidad")</f>
        <v>151</v>
      </c>
      <c r="L20" s="9">
        <f t="shared" si="0"/>
        <v>1208</v>
      </c>
    </row>
    <row r="21" spans="1:12" ht="15" customHeight="1" x14ac:dyDescent="0.2">
      <c r="A21" s="14">
        <v>46144</v>
      </c>
      <c r="B21" s="5"/>
      <c r="F21" s="7" t="str">
        <f>IFERROR(VLOOKUP(G21, data!A:B, 2, FALSE), "Tienda")</f>
        <v>SC PLAZA SAN PEDRO</v>
      </c>
      <c r="G21" s="24">
        <v>1140</v>
      </c>
      <c r="H21" s="2">
        <v>545</v>
      </c>
      <c r="I21" s="3" t="s">
        <v>11</v>
      </c>
      <c r="J21" s="4">
        <v>8</v>
      </c>
      <c r="K21" s="8">
        <f>IFERROR(VLOOKUP(I21, data!E:F, 2, FALSE), "Precio Unidad")</f>
        <v>177</v>
      </c>
      <c r="L21" s="9">
        <f t="shared" si="0"/>
        <v>1416</v>
      </c>
    </row>
    <row r="22" spans="1:12" ht="15" customHeight="1" x14ac:dyDescent="0.2">
      <c r="A22" s="14">
        <v>46144</v>
      </c>
      <c r="B22" s="5"/>
      <c r="F22" s="7" t="str">
        <f>IFERROR(VLOOKUP(G22, data!A:B, 2, FALSE), "Tienda")</f>
        <v>SC PLAZA SAN PEDRO</v>
      </c>
      <c r="G22" s="24">
        <v>1140</v>
      </c>
      <c r="H22" s="2">
        <v>545</v>
      </c>
      <c r="I22" s="3" t="s">
        <v>12</v>
      </c>
      <c r="J22" s="4">
        <v>20</v>
      </c>
      <c r="K22" s="8">
        <f>IFERROR(VLOOKUP(I22, data!E:F, 2, FALSE), "Precio Unidad")</f>
        <v>95</v>
      </c>
      <c r="L22" s="9">
        <f t="shared" si="0"/>
        <v>1900</v>
      </c>
    </row>
    <row r="23" spans="1:12" ht="15" customHeight="1" x14ac:dyDescent="0.2">
      <c r="A23" s="14">
        <v>46144</v>
      </c>
      <c r="B23" s="5"/>
      <c r="F23" s="7" t="str">
        <f>IFERROR(VLOOKUP(G23, data!A:B, 2, FALSE), "Tienda")</f>
        <v>SC PLAZA SAN PEDRO</v>
      </c>
      <c r="G23" s="24">
        <v>1140</v>
      </c>
      <c r="H23" s="2">
        <v>545</v>
      </c>
      <c r="I23" s="3" t="s">
        <v>13</v>
      </c>
      <c r="J23" s="4">
        <v>16</v>
      </c>
      <c r="K23" s="8">
        <f>IFERROR(VLOOKUP(I23, data!E:F, 2, FALSE), "Precio Unidad")</f>
        <v>63</v>
      </c>
      <c r="L23" s="9">
        <f t="shared" si="0"/>
        <v>1008</v>
      </c>
    </row>
    <row r="24" spans="1:12" ht="15" customHeight="1" x14ac:dyDescent="0.2">
      <c r="A24" s="14">
        <v>46146</v>
      </c>
      <c r="B24" s="5"/>
      <c r="F24" s="7" t="str">
        <f>IFERROR(VLOOKUP(G24, data!A:B, 2, FALSE), "Tienda")</f>
        <v>SC ENSENADA CENTRO</v>
      </c>
      <c r="G24" s="24">
        <v>2947</v>
      </c>
      <c r="H24" s="2">
        <v>546</v>
      </c>
      <c r="I24" s="3" t="s">
        <v>6</v>
      </c>
      <c r="J24" s="4">
        <v>8</v>
      </c>
      <c r="K24" s="8">
        <f>IFERROR(VLOOKUP(I24, data!E:F, 2, FALSE), "Precio Unidad")</f>
        <v>167</v>
      </c>
      <c r="L24" s="9">
        <f t="shared" si="0"/>
        <v>1336</v>
      </c>
    </row>
    <row r="25" spans="1:12" ht="15" customHeight="1" x14ac:dyDescent="0.2">
      <c r="A25" s="14">
        <v>46146</v>
      </c>
      <c r="B25" s="5"/>
      <c r="F25" s="7" t="str">
        <f>IFERROR(VLOOKUP(G25, data!A:B, 2, FALSE), "Tienda")</f>
        <v>SC ENSENADA CENTRO</v>
      </c>
      <c r="G25" s="24">
        <v>2947</v>
      </c>
      <c r="H25" s="2">
        <v>546</v>
      </c>
      <c r="I25" s="3" t="s">
        <v>10</v>
      </c>
      <c r="J25" s="4">
        <v>8</v>
      </c>
      <c r="K25" s="8">
        <f>IFERROR(VLOOKUP(I25, data!E:F, 2, FALSE), "Precio Unidad")</f>
        <v>151</v>
      </c>
      <c r="L25" s="9">
        <f t="shared" si="0"/>
        <v>1208</v>
      </c>
    </row>
    <row r="26" spans="1:12" ht="15" customHeight="1" x14ac:dyDescent="0.2">
      <c r="A26" s="14">
        <v>46146</v>
      </c>
      <c r="B26" s="5"/>
      <c r="F26" s="7" t="str">
        <f>IFERROR(VLOOKUP(G26, data!A:B, 2, FALSE), "Tienda")</f>
        <v>SC ENSENADA CENTRO</v>
      </c>
      <c r="G26" s="24">
        <v>2947</v>
      </c>
      <c r="H26" s="2">
        <v>546</v>
      </c>
      <c r="I26" s="3" t="s">
        <v>11</v>
      </c>
      <c r="J26" s="4">
        <v>8</v>
      </c>
      <c r="K26" s="8">
        <f>IFERROR(VLOOKUP(I26, data!E:F, 2, FALSE), "Precio Unidad")</f>
        <v>177</v>
      </c>
      <c r="L26" s="9">
        <f t="shared" si="0"/>
        <v>1416</v>
      </c>
    </row>
    <row r="27" spans="1:12" ht="15" customHeight="1" x14ac:dyDescent="0.2">
      <c r="A27" s="14">
        <v>46146</v>
      </c>
      <c r="B27" s="5"/>
      <c r="F27" s="7" t="str">
        <f>IFERROR(VLOOKUP(G27, data!A:B, 2, FALSE), "Tienda")</f>
        <v>SC ENSENADA CENTRO</v>
      </c>
      <c r="G27" s="24">
        <v>2947</v>
      </c>
      <c r="H27" s="2">
        <v>546</v>
      </c>
      <c r="I27" s="3" t="s">
        <v>12</v>
      </c>
      <c r="J27" s="4">
        <v>10</v>
      </c>
      <c r="K27" s="8">
        <f>IFERROR(VLOOKUP(I27, data!E:F, 2, FALSE), "Precio Unidad")</f>
        <v>95</v>
      </c>
      <c r="L27" s="9">
        <f t="shared" si="0"/>
        <v>950</v>
      </c>
    </row>
    <row r="28" spans="1:12" ht="15" customHeight="1" x14ac:dyDescent="0.2">
      <c r="A28" s="14">
        <v>46146</v>
      </c>
      <c r="B28" s="5"/>
      <c r="F28" s="7" t="str">
        <f>IFERROR(VLOOKUP(G28, data!A:B, 2, FALSE), "Tienda")</f>
        <v>SC ENSENADA</v>
      </c>
      <c r="G28" s="24">
        <v>3015</v>
      </c>
      <c r="H28" s="2">
        <v>547</v>
      </c>
      <c r="I28" s="3" t="s">
        <v>6</v>
      </c>
      <c r="J28" s="4">
        <v>8</v>
      </c>
      <c r="K28" s="8">
        <f>IFERROR(VLOOKUP(I28, data!E:F, 2, FALSE), "Precio Unidad")</f>
        <v>167</v>
      </c>
      <c r="L28" s="9">
        <f t="shared" si="0"/>
        <v>1336</v>
      </c>
    </row>
    <row r="29" spans="1:12" ht="15" customHeight="1" x14ac:dyDescent="0.2">
      <c r="A29" s="14">
        <v>46146</v>
      </c>
      <c r="B29" s="5"/>
      <c r="F29" s="7" t="str">
        <f>IFERROR(VLOOKUP(G29, data!A:B, 2, FALSE), "Tienda")</f>
        <v>SC ENSENADA</v>
      </c>
      <c r="G29" s="24">
        <v>3015</v>
      </c>
      <c r="H29" s="2">
        <v>547</v>
      </c>
      <c r="I29" s="3" t="s">
        <v>7</v>
      </c>
      <c r="J29" s="4">
        <v>10</v>
      </c>
      <c r="K29" s="8">
        <f>IFERROR(VLOOKUP(I29, data!E:F, 2, FALSE), "Precio Unidad")</f>
        <v>113</v>
      </c>
      <c r="L29" s="9">
        <f t="shared" si="0"/>
        <v>1130</v>
      </c>
    </row>
    <row r="30" spans="1:12" ht="15" customHeight="1" x14ac:dyDescent="0.2">
      <c r="A30" s="14">
        <v>46146</v>
      </c>
      <c r="B30" s="5"/>
      <c r="F30" s="7" t="str">
        <f>IFERROR(VLOOKUP(G30, data!A:B, 2, FALSE), "Tienda")</f>
        <v>SC ENSENADA</v>
      </c>
      <c r="G30" s="24">
        <v>3015</v>
      </c>
      <c r="H30" s="2">
        <v>547</v>
      </c>
      <c r="I30" s="3" t="s">
        <v>10</v>
      </c>
      <c r="J30" s="4">
        <v>8</v>
      </c>
      <c r="K30" s="8">
        <f>IFERROR(VLOOKUP(I30, data!E:F, 2, FALSE), "Precio Unidad")</f>
        <v>151</v>
      </c>
      <c r="L30" s="9">
        <f t="shared" si="0"/>
        <v>1208</v>
      </c>
    </row>
    <row r="31" spans="1:12" ht="15" customHeight="1" x14ac:dyDescent="0.2">
      <c r="A31" s="14">
        <v>46146</v>
      </c>
      <c r="B31" s="5"/>
      <c r="F31" s="7" t="str">
        <f>IFERROR(VLOOKUP(G31, data!A:B, 2, FALSE), "Tienda")</f>
        <v>SC ENSENADA</v>
      </c>
      <c r="G31" s="24">
        <v>3015</v>
      </c>
      <c r="H31" s="2">
        <v>547</v>
      </c>
      <c r="I31" s="3" t="s">
        <v>11</v>
      </c>
      <c r="J31" s="4">
        <v>8</v>
      </c>
      <c r="K31" s="8">
        <f>IFERROR(VLOOKUP(I31, data!E:F, 2, FALSE), "Precio Unidad")</f>
        <v>177</v>
      </c>
      <c r="L31" s="9">
        <f t="shared" si="0"/>
        <v>1416</v>
      </c>
    </row>
    <row r="32" spans="1:12" ht="15" customHeight="1" x14ac:dyDescent="0.2">
      <c r="A32" s="14">
        <v>46146</v>
      </c>
      <c r="B32" s="5"/>
      <c r="F32" s="7" t="str">
        <f>IFERROR(VLOOKUP(G32, data!A:B, 2, FALSE), "Tienda")</f>
        <v>SC ENSENADA</v>
      </c>
      <c r="G32" s="24">
        <v>3015</v>
      </c>
      <c r="H32" s="2">
        <v>547</v>
      </c>
      <c r="I32" s="3" t="s">
        <v>12</v>
      </c>
      <c r="J32" s="4">
        <v>10</v>
      </c>
      <c r="K32" s="8">
        <f>IFERROR(VLOOKUP(I32, data!E:F, 2, FALSE), "Precio Unidad")</f>
        <v>95</v>
      </c>
      <c r="L32" s="9">
        <f t="shared" si="0"/>
        <v>950</v>
      </c>
    </row>
    <row r="33" spans="1:12" ht="15" customHeight="1" x14ac:dyDescent="0.2">
      <c r="A33" s="14">
        <v>46146</v>
      </c>
      <c r="B33" s="5"/>
      <c r="F33" s="7" t="str">
        <f>IFERROR(VLOOKUP(G33, data!A:B, 2, FALSE), "Tienda")</f>
        <v>SC PLAYAS DE TIJUANA</v>
      </c>
      <c r="G33" s="24">
        <v>1613</v>
      </c>
      <c r="H33" s="2">
        <v>548</v>
      </c>
      <c r="I33" s="3" t="s">
        <v>6</v>
      </c>
      <c r="J33" s="4">
        <v>8</v>
      </c>
      <c r="K33" s="8">
        <f>IFERROR(VLOOKUP(I33, data!E:F, 2, FALSE), "Precio Unidad")</f>
        <v>167</v>
      </c>
      <c r="L33" s="9">
        <f t="shared" si="0"/>
        <v>1336</v>
      </c>
    </row>
    <row r="34" spans="1:12" ht="15" customHeight="1" x14ac:dyDescent="0.2">
      <c r="A34" s="14">
        <v>46146</v>
      </c>
      <c r="B34" s="5"/>
      <c r="F34" s="7" t="str">
        <f>IFERROR(VLOOKUP(G34, data!A:B, 2, FALSE), "Tienda")</f>
        <v>SC PACIFICO</v>
      </c>
      <c r="G34" s="24">
        <v>1616</v>
      </c>
      <c r="H34" s="2">
        <v>549</v>
      </c>
      <c r="I34" s="3" t="s">
        <v>6</v>
      </c>
      <c r="J34" s="4">
        <v>8</v>
      </c>
      <c r="K34" s="8">
        <f>IFERROR(VLOOKUP(I34, data!E:F, 2, FALSE), "Precio Unidad")</f>
        <v>167</v>
      </c>
      <c r="L34" s="9">
        <f t="shared" si="0"/>
        <v>1336</v>
      </c>
    </row>
    <row r="35" spans="1:12" ht="15" customHeight="1" x14ac:dyDescent="0.2">
      <c r="A35" s="14">
        <v>46146</v>
      </c>
      <c r="B35" s="5"/>
      <c r="F35" s="7" t="str">
        <f>IFERROR(VLOOKUP(G35, data!A:B, 2, FALSE), "Tienda")</f>
        <v>SC LOMAS DE SANTA FE</v>
      </c>
      <c r="G35" s="24">
        <v>190</v>
      </c>
      <c r="H35" s="2">
        <v>550</v>
      </c>
      <c r="I35" s="3" t="s">
        <v>6</v>
      </c>
      <c r="J35" s="4">
        <v>8</v>
      </c>
      <c r="K35" s="8">
        <f>IFERROR(VLOOKUP(I35, data!E:F, 2, FALSE), "Precio Unidad")</f>
        <v>167</v>
      </c>
      <c r="L35" s="9">
        <f t="shared" si="0"/>
        <v>1336</v>
      </c>
    </row>
    <row r="36" spans="1:12" ht="15" customHeight="1" x14ac:dyDescent="0.2">
      <c r="A36" s="14">
        <v>46146</v>
      </c>
      <c r="B36" s="5"/>
      <c r="F36" s="7" t="str">
        <f>IFERROR(VLOOKUP(G36, data!A:B, 2, FALSE), "Tienda")</f>
        <v>SC ROSARITO</v>
      </c>
      <c r="G36" s="24">
        <v>4187</v>
      </c>
      <c r="H36" s="2">
        <v>551</v>
      </c>
      <c r="I36" s="3" t="s">
        <v>6</v>
      </c>
      <c r="J36" s="4">
        <v>6</v>
      </c>
      <c r="K36" s="8">
        <f>IFERROR(VLOOKUP(I36, data!E:F, 2, FALSE), "Precio Unidad")</f>
        <v>167</v>
      </c>
      <c r="L36" s="9">
        <f t="shared" si="0"/>
        <v>1002</v>
      </c>
    </row>
    <row r="37" spans="1:12" ht="15" customHeight="1" x14ac:dyDescent="0.2">
      <c r="A37" s="14">
        <v>46146</v>
      </c>
      <c r="B37" s="5"/>
      <c r="F37" s="7" t="str">
        <f>IFERROR(VLOOKUP(G37, data!A:B, 2, FALSE), "Tienda")</f>
        <v>SC MACROPLAZA INSURGENTES</v>
      </c>
      <c r="G37" s="24">
        <v>2023</v>
      </c>
      <c r="H37" s="2">
        <v>552</v>
      </c>
      <c r="I37" s="3" t="s">
        <v>6</v>
      </c>
      <c r="J37" s="4">
        <v>2</v>
      </c>
      <c r="K37" s="8">
        <f>IFERROR(VLOOKUP(I37, data!E:F, 2, FALSE), "Precio Unidad")</f>
        <v>167</v>
      </c>
      <c r="L37" s="9">
        <f t="shared" si="0"/>
        <v>334</v>
      </c>
    </row>
    <row r="38" spans="1:12" ht="15" customHeight="1" x14ac:dyDescent="0.2">
      <c r="A38" s="14">
        <v>46146</v>
      </c>
      <c r="B38" s="5"/>
      <c r="F38" s="7" t="str">
        <f>IFERROR(VLOOKUP(G38, data!A:B, 2, FALSE), "Tienda")</f>
        <v>SC DIAZ ORDAZ</v>
      </c>
      <c r="G38" s="24">
        <v>3664</v>
      </c>
      <c r="H38" s="2">
        <v>553</v>
      </c>
      <c r="I38" s="3" t="s">
        <v>6</v>
      </c>
      <c r="J38" s="4">
        <v>8</v>
      </c>
      <c r="K38" s="8">
        <f>IFERROR(VLOOKUP(I38, data!E:F, 2, FALSE), "Precio Unidad")</f>
        <v>167</v>
      </c>
      <c r="L38" s="9">
        <f t="shared" si="0"/>
        <v>1336</v>
      </c>
    </row>
    <row r="39" spans="1:12" ht="15" customHeight="1" x14ac:dyDescent="0.2">
      <c r="A39" s="14">
        <v>46146</v>
      </c>
      <c r="B39" s="5"/>
      <c r="F39" s="7" t="str">
        <f>IFERROR(VLOOKUP(G39, data!A:B, 2, FALSE), "Tienda")</f>
        <v>SC TIJUANA HIPODROMO</v>
      </c>
      <c r="G39" s="24">
        <v>4011</v>
      </c>
      <c r="H39" s="2">
        <v>554</v>
      </c>
      <c r="I39" s="3" t="s">
        <v>6</v>
      </c>
      <c r="J39" s="4">
        <v>8</v>
      </c>
      <c r="K39" s="8">
        <f>IFERROR(VLOOKUP(I39, data!E:F, 2, FALSE), "Precio Unidad")</f>
        <v>167</v>
      </c>
      <c r="L39" s="9">
        <f t="shared" si="0"/>
        <v>1336</v>
      </c>
    </row>
    <row r="40" spans="1:12" ht="15" customHeight="1" x14ac:dyDescent="0.2">
      <c r="A40" s="14">
        <v>46146</v>
      </c>
      <c r="B40" s="5"/>
      <c r="F40" s="7" t="str">
        <f>IFERROR(VLOOKUP(G40, data!A:B, 2, FALSE), "Tienda")</f>
        <v>SC TIJUANA 2000</v>
      </c>
      <c r="G40" s="24">
        <v>4155</v>
      </c>
      <c r="H40" s="2">
        <v>555</v>
      </c>
      <c r="I40" s="3" t="s">
        <v>6</v>
      </c>
      <c r="J40" s="4">
        <v>8</v>
      </c>
      <c r="K40" s="8">
        <f>IFERROR(VLOOKUP(I40, data!E:F, 2, FALSE), "Precio Unidad")</f>
        <v>167</v>
      </c>
      <c r="L40" s="9">
        <f t="shared" si="0"/>
        <v>1336</v>
      </c>
    </row>
    <row r="41" spans="1:12" ht="15" customHeight="1" x14ac:dyDescent="0.2">
      <c r="A41" s="14">
        <v>46148</v>
      </c>
      <c r="B41" s="5"/>
      <c r="F41" s="7" t="str">
        <f>IFERROR(VLOOKUP(G41, data!A:B, 2, FALSE), "Tienda")</f>
        <v>SC TECATE GARITA</v>
      </c>
      <c r="G41" s="24">
        <v>5295</v>
      </c>
      <c r="H41" s="2">
        <v>556</v>
      </c>
      <c r="I41" s="3" t="s">
        <v>53</v>
      </c>
      <c r="J41" s="4">
        <v>104</v>
      </c>
      <c r="K41" s="8">
        <f>IFERROR(VLOOKUP(I41, data!E:F, 2, FALSE), "Precio Unidad")</f>
        <v>182</v>
      </c>
      <c r="L41" s="9">
        <f t="shared" si="0"/>
        <v>18928</v>
      </c>
    </row>
    <row r="42" spans="1:12" ht="15" customHeight="1" x14ac:dyDescent="0.2">
      <c r="A42" s="14">
        <v>46148</v>
      </c>
      <c r="B42" s="5"/>
      <c r="F42" s="7" t="str">
        <f>IFERROR(VLOOKUP(G42, data!A:B, 2, FALSE), "Tienda")</f>
        <v>SC TECATE GARITA</v>
      </c>
      <c r="G42" s="24">
        <v>5295</v>
      </c>
      <c r="H42" s="2">
        <v>556</v>
      </c>
      <c r="I42" s="3" t="s">
        <v>54</v>
      </c>
      <c r="J42" s="4">
        <v>80</v>
      </c>
      <c r="K42" s="8">
        <f>IFERROR(VLOOKUP(I42, data!E:F, 2, FALSE), "Precio Unidad")</f>
        <v>175</v>
      </c>
      <c r="L42" s="9">
        <f t="shared" ref="L42:L96" si="1">K42*J42</f>
        <v>14000</v>
      </c>
    </row>
    <row r="43" spans="1:12" ht="15" customHeight="1" x14ac:dyDescent="0.2">
      <c r="A43" s="14">
        <v>46148</v>
      </c>
      <c r="B43" s="5"/>
      <c r="F43" s="7" t="str">
        <f>IFERROR(VLOOKUP(G43, data!A:B, 2, FALSE), "Tienda")</f>
        <v>SC NUEVO MEXICALI</v>
      </c>
      <c r="G43" s="24">
        <v>5041</v>
      </c>
      <c r="H43" s="2">
        <v>557</v>
      </c>
      <c r="I43" s="3" t="s">
        <v>53</v>
      </c>
      <c r="J43" s="4">
        <v>319</v>
      </c>
      <c r="K43" s="8">
        <f>IFERROR(VLOOKUP(I43, data!E:F, 2, FALSE), "Precio Unidad")</f>
        <v>182</v>
      </c>
      <c r="L43" s="9">
        <f t="shared" si="1"/>
        <v>58058</v>
      </c>
    </row>
    <row r="44" spans="1:12" ht="15" customHeight="1" x14ac:dyDescent="0.2">
      <c r="A44" s="14">
        <v>46148</v>
      </c>
      <c r="B44" s="5"/>
      <c r="F44" s="7" t="str">
        <f>IFERROR(VLOOKUP(G44, data!A:B, 2, FALSE), "Tienda")</f>
        <v>SC NUEVO MEXICALI</v>
      </c>
      <c r="G44" s="24">
        <v>5041</v>
      </c>
      <c r="H44" s="2">
        <v>557</v>
      </c>
      <c r="I44" s="3" t="s">
        <v>54</v>
      </c>
      <c r="J44" s="4">
        <v>695</v>
      </c>
      <c r="K44" s="8">
        <f>IFERROR(VLOOKUP(I44, data!E:F, 2, FALSE), "Precio Unidad")</f>
        <v>175</v>
      </c>
      <c r="L44" s="9">
        <f t="shared" si="1"/>
        <v>121625</v>
      </c>
    </row>
    <row r="45" spans="1:12" ht="15" customHeight="1" x14ac:dyDescent="0.2">
      <c r="A45" s="14">
        <v>46148</v>
      </c>
      <c r="B45" s="5"/>
      <c r="F45" s="7" t="str">
        <f>IFERROR(VLOOKUP(G45, data!A:B, 2, FALSE), "Tienda")</f>
        <v>SC NUEVO MEXICALI</v>
      </c>
      <c r="G45" s="24">
        <v>5041</v>
      </c>
      <c r="H45" s="2">
        <v>557</v>
      </c>
      <c r="I45" s="3" t="s">
        <v>55</v>
      </c>
      <c r="J45" s="4">
        <v>8</v>
      </c>
      <c r="K45" s="8">
        <f>IFERROR(VLOOKUP(I45, data!E:F, 2, FALSE), "Precio Unidad")</f>
        <v>393</v>
      </c>
      <c r="L45" s="9">
        <f t="shared" si="1"/>
        <v>3144</v>
      </c>
    </row>
    <row r="46" spans="1:12" ht="15" customHeight="1" x14ac:dyDescent="0.2">
      <c r="A46" s="14">
        <v>46148</v>
      </c>
      <c r="B46" s="5"/>
      <c r="F46" s="7" t="str">
        <f>IFERROR(VLOOKUP(G46, data!A:B, 2, FALSE), "Tienda")</f>
        <v>SC GALERIAS DEL VALLE</v>
      </c>
      <c r="G46" s="24">
        <v>4026</v>
      </c>
      <c r="H46" s="2">
        <v>558</v>
      </c>
      <c r="I46" s="3" t="s">
        <v>53</v>
      </c>
      <c r="J46" s="4">
        <v>72</v>
      </c>
      <c r="K46" s="8">
        <f>IFERROR(VLOOKUP(I46, data!E:F, 2, FALSE), "Precio Unidad")</f>
        <v>182</v>
      </c>
      <c r="L46" s="9">
        <f t="shared" si="1"/>
        <v>13104</v>
      </c>
    </row>
    <row r="47" spans="1:12" ht="15" customHeight="1" x14ac:dyDescent="0.2">
      <c r="A47" s="14">
        <v>46148</v>
      </c>
      <c r="B47" s="5"/>
      <c r="F47" s="7" t="str">
        <f>IFERROR(VLOOKUP(G47, data!A:B, 2, FALSE), "Tienda")</f>
        <v>SC GALERIAS DEL VALLE</v>
      </c>
      <c r="G47" s="24">
        <v>4026</v>
      </c>
      <c r="H47" s="2">
        <v>558</v>
      </c>
      <c r="I47" s="3" t="s">
        <v>54</v>
      </c>
      <c r="J47" s="4">
        <v>104</v>
      </c>
      <c r="K47" s="8">
        <f>IFERROR(VLOOKUP(I47, data!E:F, 2, FALSE), "Precio Unidad")</f>
        <v>175</v>
      </c>
      <c r="L47" s="9">
        <f t="shared" si="1"/>
        <v>18200</v>
      </c>
    </row>
    <row r="48" spans="1:12" ht="15" customHeight="1" x14ac:dyDescent="0.2">
      <c r="A48" s="14">
        <v>46148</v>
      </c>
      <c r="B48" s="5"/>
      <c r="F48" s="7" t="str">
        <f>IFERROR(VLOOKUP(G48, data!A:B, 2, FALSE), "Tienda")</f>
        <v>SC GALERIAS DEL VALLE</v>
      </c>
      <c r="G48" s="24">
        <v>4026</v>
      </c>
      <c r="H48" s="2">
        <v>558</v>
      </c>
      <c r="I48" s="3" t="s">
        <v>56</v>
      </c>
      <c r="J48" s="4">
        <v>72</v>
      </c>
      <c r="K48" s="8">
        <f>IFERROR(VLOOKUP(I48, data!E:F, 2, FALSE), "Precio Unidad")</f>
        <v>265</v>
      </c>
      <c r="L48" s="9">
        <f t="shared" si="1"/>
        <v>19080</v>
      </c>
    </row>
    <row r="49" spans="1:12" ht="15" customHeight="1" x14ac:dyDescent="0.2">
      <c r="A49" s="14">
        <v>46148</v>
      </c>
      <c r="B49" s="5"/>
      <c r="F49" s="7" t="str">
        <f>IFERROR(VLOOKUP(G49, data!A:B, 2, FALSE), "Tienda")</f>
        <v>SC PLAZA SAN PEDRO</v>
      </c>
      <c r="G49" s="24">
        <v>1140</v>
      </c>
      <c r="H49" s="2">
        <v>560</v>
      </c>
      <c r="I49" s="3" t="s">
        <v>53</v>
      </c>
      <c r="J49" s="4">
        <v>104</v>
      </c>
      <c r="K49" s="8">
        <f>IFERROR(VLOOKUP(I49, data!E:F, 2, FALSE), "Precio Unidad")</f>
        <v>182</v>
      </c>
      <c r="L49" s="9">
        <f t="shared" si="1"/>
        <v>18928</v>
      </c>
    </row>
    <row r="50" spans="1:12" ht="15" customHeight="1" x14ac:dyDescent="0.2">
      <c r="A50" s="14">
        <v>46148</v>
      </c>
      <c r="B50" s="5"/>
      <c r="F50" s="7" t="str">
        <f>IFERROR(VLOOKUP(G50, data!A:B, 2, FALSE), "Tienda")</f>
        <v>SC PLAZA SAN PEDRO</v>
      </c>
      <c r="G50" s="24">
        <v>1140</v>
      </c>
      <c r="H50" s="2">
        <v>560</v>
      </c>
      <c r="I50" s="3" t="s">
        <v>57</v>
      </c>
      <c r="J50" s="4">
        <v>44</v>
      </c>
      <c r="K50" s="8">
        <f>IFERROR(VLOOKUP(I50, data!E:F, 2, FALSE), "Precio Unidad")</f>
        <v>307</v>
      </c>
      <c r="L50" s="9">
        <f t="shared" si="1"/>
        <v>13508</v>
      </c>
    </row>
    <row r="51" spans="1:12" ht="15" customHeight="1" x14ac:dyDescent="0.2">
      <c r="A51" s="14">
        <v>46148</v>
      </c>
      <c r="B51" s="5"/>
      <c r="F51" s="7" t="str">
        <f>IFERROR(VLOOKUP(G51, data!A:B, 2, FALSE), "Tienda")</f>
        <v>SC PLAZA SAN PEDRO</v>
      </c>
      <c r="G51" s="24">
        <v>1140</v>
      </c>
      <c r="H51" s="2">
        <v>560</v>
      </c>
      <c r="I51" s="3" t="s">
        <v>54</v>
      </c>
      <c r="J51" s="4">
        <v>72</v>
      </c>
      <c r="K51" s="8">
        <f>IFERROR(VLOOKUP(I51, data!E:F, 2, FALSE), "Precio Unidad")</f>
        <v>175</v>
      </c>
      <c r="L51" s="9">
        <f t="shared" si="1"/>
        <v>12600</v>
      </c>
    </row>
    <row r="52" spans="1:12" ht="15" customHeight="1" x14ac:dyDescent="0.2">
      <c r="A52" s="14">
        <v>46148</v>
      </c>
      <c r="B52" s="5"/>
      <c r="F52" s="7" t="str">
        <f>IFERROR(VLOOKUP(G52, data!A:B, 2, FALSE), "Tienda")</f>
        <v>SC PLAZA SAN PEDRO</v>
      </c>
      <c r="G52" s="24">
        <v>1140</v>
      </c>
      <c r="H52" s="2">
        <v>560</v>
      </c>
      <c r="I52" s="3" t="s">
        <v>55</v>
      </c>
      <c r="J52" s="4">
        <v>8</v>
      </c>
      <c r="K52" s="8">
        <f>IFERROR(VLOOKUP(I52, data!E:F, 2, FALSE), "Precio Unidad")</f>
        <v>393</v>
      </c>
      <c r="L52" s="9">
        <f t="shared" si="1"/>
        <v>3144</v>
      </c>
    </row>
    <row r="53" spans="1:12" ht="15" customHeight="1" x14ac:dyDescent="0.2">
      <c r="A53" s="14">
        <v>46148</v>
      </c>
      <c r="B53" s="5"/>
      <c r="F53" s="7" t="str">
        <f>IFERROR(VLOOKUP(G53, data!A:B, 2, FALSE), "Tienda")</f>
        <v>SC PLAZA SAN PEDRO</v>
      </c>
      <c r="G53" s="24">
        <v>1140</v>
      </c>
      <c r="H53" s="2">
        <v>560</v>
      </c>
      <c r="I53" s="3" t="s">
        <v>56</v>
      </c>
      <c r="J53" s="4">
        <v>72</v>
      </c>
      <c r="K53" s="8">
        <f>IFERROR(VLOOKUP(I53, data!E:F, 2, FALSE), "Precio Unidad")</f>
        <v>265</v>
      </c>
      <c r="L53" s="9">
        <f t="shared" si="1"/>
        <v>19080</v>
      </c>
    </row>
    <row r="54" spans="1:12" ht="15" customHeight="1" x14ac:dyDescent="0.2">
      <c r="A54" s="14">
        <v>46148</v>
      </c>
      <c r="B54" s="5"/>
      <c r="F54" s="7" t="str">
        <f>IFERROR(VLOOKUP(G54, data!A:B, 2, FALSE), "Tienda")</f>
        <v>SC MEXICALI</v>
      </c>
      <c r="G54" s="24">
        <v>2304</v>
      </c>
      <c r="H54" s="2">
        <v>561</v>
      </c>
      <c r="I54" s="3" t="s">
        <v>53</v>
      </c>
      <c r="J54" s="4">
        <v>104</v>
      </c>
      <c r="K54" s="8">
        <f>IFERROR(VLOOKUP(I54, data!E:F, 2, FALSE), "Precio Unidad")</f>
        <v>182</v>
      </c>
      <c r="L54" s="9">
        <f t="shared" si="1"/>
        <v>18928</v>
      </c>
    </row>
    <row r="55" spans="1:12" ht="15" customHeight="1" x14ac:dyDescent="0.2">
      <c r="A55" s="14">
        <v>46148</v>
      </c>
      <c r="B55" s="5"/>
      <c r="F55" s="7" t="str">
        <f>IFERROR(VLOOKUP(G55, data!A:B, 2, FALSE), "Tienda")</f>
        <v>SC MEXICALI</v>
      </c>
      <c r="G55" s="24">
        <v>2304</v>
      </c>
      <c r="H55" s="2">
        <v>561</v>
      </c>
      <c r="I55" s="3" t="s">
        <v>54</v>
      </c>
      <c r="J55" s="4">
        <v>152</v>
      </c>
      <c r="K55" s="8">
        <f>IFERROR(VLOOKUP(I55, data!E:F, 2, FALSE), "Precio Unidad")</f>
        <v>175</v>
      </c>
      <c r="L55" s="9">
        <f t="shared" si="1"/>
        <v>26600</v>
      </c>
    </row>
    <row r="56" spans="1:12" ht="15" customHeight="1" x14ac:dyDescent="0.2">
      <c r="A56" s="14">
        <v>46148</v>
      </c>
      <c r="B56" s="5"/>
      <c r="F56" s="7" t="str">
        <f>IFERROR(VLOOKUP(G56, data!A:B, 2, FALSE), "Tienda")</f>
        <v>SC PLAYAS DE TIJUANA</v>
      </c>
      <c r="G56" s="24">
        <v>1613</v>
      </c>
      <c r="H56" s="2">
        <v>562</v>
      </c>
      <c r="I56" s="3" t="s">
        <v>53</v>
      </c>
      <c r="J56" s="4">
        <v>39</v>
      </c>
      <c r="K56" s="8">
        <f>IFERROR(VLOOKUP(I56, data!E:F, 2, FALSE), "Precio Unidad")</f>
        <v>182</v>
      </c>
      <c r="L56" s="9">
        <f t="shared" si="1"/>
        <v>7098</v>
      </c>
    </row>
    <row r="57" spans="1:12" ht="15" customHeight="1" x14ac:dyDescent="0.2">
      <c r="A57" s="14">
        <v>46148</v>
      </c>
      <c r="B57" s="5"/>
      <c r="F57" s="7" t="str">
        <f>IFERROR(VLOOKUP(G57, data!A:B, 2, FALSE), "Tienda")</f>
        <v>SC PLAYAS DE TIJUANA</v>
      </c>
      <c r="G57" s="24">
        <v>1613</v>
      </c>
      <c r="H57" s="2">
        <v>562</v>
      </c>
      <c r="I57" s="3" t="s">
        <v>54</v>
      </c>
      <c r="J57" s="4">
        <v>48</v>
      </c>
      <c r="K57" s="8">
        <f>IFERROR(VLOOKUP(I57, data!E:F, 2, FALSE), "Precio Unidad")</f>
        <v>175</v>
      </c>
      <c r="L57" s="9">
        <f t="shared" si="1"/>
        <v>8400</v>
      </c>
    </row>
    <row r="58" spans="1:12" ht="15" customHeight="1" x14ac:dyDescent="0.2">
      <c r="A58" s="14">
        <v>46148</v>
      </c>
      <c r="B58" s="5"/>
      <c r="F58" s="7" t="str">
        <f>IFERROR(VLOOKUP(G58, data!A:B, 2, FALSE), "Tienda")</f>
        <v>SC PACIFICO</v>
      </c>
      <c r="G58" s="24">
        <v>1616</v>
      </c>
      <c r="H58" s="2">
        <v>563</v>
      </c>
      <c r="I58" s="3" t="s">
        <v>53</v>
      </c>
      <c r="J58" s="4">
        <v>23</v>
      </c>
      <c r="K58" s="8">
        <f>IFERROR(VLOOKUP(I58, data!E:F, 2, FALSE), "Precio Unidad")</f>
        <v>182</v>
      </c>
      <c r="L58" s="9">
        <f t="shared" si="1"/>
        <v>4186</v>
      </c>
    </row>
    <row r="59" spans="1:12" ht="15" customHeight="1" x14ac:dyDescent="0.2">
      <c r="A59" s="14">
        <v>46148</v>
      </c>
      <c r="B59" s="5"/>
      <c r="F59" s="7" t="str">
        <f>IFERROR(VLOOKUP(G59, data!A:B, 2, FALSE), "Tienda")</f>
        <v>SC PACIFICO</v>
      </c>
      <c r="G59" s="24">
        <v>1616</v>
      </c>
      <c r="H59" s="2">
        <v>563</v>
      </c>
      <c r="I59" s="3" t="s">
        <v>54</v>
      </c>
      <c r="J59" s="4">
        <v>40</v>
      </c>
      <c r="K59" s="8">
        <f>IFERROR(VLOOKUP(I59, data!E:F, 2, FALSE), "Precio Unidad")</f>
        <v>175</v>
      </c>
      <c r="L59" s="9">
        <f t="shared" si="1"/>
        <v>7000</v>
      </c>
    </row>
    <row r="60" spans="1:12" ht="15" customHeight="1" x14ac:dyDescent="0.2">
      <c r="A60" s="14">
        <v>46148</v>
      </c>
      <c r="B60" s="5"/>
      <c r="F60" s="7" t="str">
        <f>IFERROR(VLOOKUP(G60, data!A:B, 2, FALSE), "Tienda")</f>
        <v>SC LOMAS DE SANTA FE</v>
      </c>
      <c r="G60" s="24">
        <v>190</v>
      </c>
      <c r="H60" s="2">
        <v>564</v>
      </c>
      <c r="I60" s="3" t="s">
        <v>53</v>
      </c>
      <c r="J60" s="4">
        <v>56</v>
      </c>
      <c r="K60" s="8">
        <f>IFERROR(VLOOKUP(I60, data!E:F, 2, FALSE), "Precio Unidad")</f>
        <v>182</v>
      </c>
      <c r="L60" s="9">
        <f t="shared" si="1"/>
        <v>10192</v>
      </c>
    </row>
    <row r="61" spans="1:12" ht="15" customHeight="1" x14ac:dyDescent="0.2">
      <c r="A61" s="14">
        <v>46148</v>
      </c>
      <c r="B61" s="5"/>
      <c r="F61" s="7" t="str">
        <f>IFERROR(VLOOKUP(G61, data!A:B, 2, FALSE), "Tienda")</f>
        <v>SC LOMAS DE SANTA FE</v>
      </c>
      <c r="G61" s="24">
        <v>190</v>
      </c>
      <c r="H61" s="2">
        <v>564</v>
      </c>
      <c r="I61" s="3" t="s">
        <v>54</v>
      </c>
      <c r="J61" s="4">
        <v>48</v>
      </c>
      <c r="K61" s="8">
        <f>IFERROR(VLOOKUP(I61, data!E:F, 2, FALSE), "Precio Unidad")</f>
        <v>175</v>
      </c>
      <c r="L61" s="9">
        <f t="shared" si="1"/>
        <v>8400</v>
      </c>
    </row>
    <row r="62" spans="1:12" ht="15" customHeight="1" x14ac:dyDescent="0.2">
      <c r="A62" s="14">
        <v>46148</v>
      </c>
      <c r="B62" s="5"/>
      <c r="F62" s="7" t="str">
        <f>IFERROR(VLOOKUP(G62, data!A:B, 2, FALSE), "Tienda")</f>
        <v>SC MACROPLAZA INSURGENTES</v>
      </c>
      <c r="G62" s="24">
        <v>2023</v>
      </c>
      <c r="H62" s="2">
        <v>565</v>
      </c>
      <c r="I62" s="3" t="s">
        <v>53</v>
      </c>
      <c r="J62" s="4">
        <v>32</v>
      </c>
      <c r="K62" s="8">
        <f>IFERROR(VLOOKUP(I62, data!E:F, 2, FALSE), "Precio Unidad")</f>
        <v>182</v>
      </c>
      <c r="L62" s="9">
        <f t="shared" si="1"/>
        <v>5824</v>
      </c>
    </row>
    <row r="63" spans="1:12" ht="15" customHeight="1" x14ac:dyDescent="0.2">
      <c r="A63" s="14">
        <v>46148</v>
      </c>
      <c r="B63" s="5"/>
      <c r="F63" s="7" t="str">
        <f>IFERROR(VLOOKUP(G63, data!A:B, 2, FALSE), "Tienda")</f>
        <v>SC MACROPLAZA INSURGENTES</v>
      </c>
      <c r="G63" s="24">
        <v>2023</v>
      </c>
      <c r="H63" s="2">
        <v>565</v>
      </c>
      <c r="I63" s="3" t="s">
        <v>54</v>
      </c>
      <c r="J63" s="4">
        <v>48</v>
      </c>
      <c r="K63" s="8">
        <f>IFERROR(VLOOKUP(I63, data!E:F, 2, FALSE), "Precio Unidad")</f>
        <v>175</v>
      </c>
      <c r="L63" s="9">
        <f t="shared" si="1"/>
        <v>8400</v>
      </c>
    </row>
    <row r="64" spans="1:12" ht="15" customHeight="1" x14ac:dyDescent="0.2">
      <c r="A64" s="14">
        <v>46148</v>
      </c>
      <c r="B64" s="5"/>
      <c r="F64" s="7" t="str">
        <f>IFERROR(VLOOKUP(G64, data!A:B, 2, FALSE), "Tienda")</f>
        <v>SC DIAZ ORDAZ</v>
      </c>
      <c r="G64" s="24">
        <v>3664</v>
      </c>
      <c r="H64" s="2">
        <v>566</v>
      </c>
      <c r="I64" s="3" t="s">
        <v>53</v>
      </c>
      <c r="J64" s="4">
        <v>16</v>
      </c>
      <c r="K64" s="8">
        <f>IFERROR(VLOOKUP(I64, data!E:F, 2, FALSE), "Precio Unidad")</f>
        <v>182</v>
      </c>
      <c r="L64" s="9">
        <f t="shared" si="1"/>
        <v>2912</v>
      </c>
    </row>
    <row r="65" spans="1:12" ht="15" customHeight="1" x14ac:dyDescent="0.2">
      <c r="A65" s="14">
        <v>46148</v>
      </c>
      <c r="B65" s="5"/>
      <c r="F65" s="7" t="str">
        <f>IFERROR(VLOOKUP(G65, data!A:B, 2, FALSE), "Tienda")</f>
        <v>SC DIAZ ORDAZ</v>
      </c>
      <c r="G65" s="24">
        <v>3664</v>
      </c>
      <c r="H65" s="2">
        <v>566</v>
      </c>
      <c r="I65" s="3" t="s">
        <v>54</v>
      </c>
      <c r="J65" s="4">
        <v>40</v>
      </c>
      <c r="K65" s="8">
        <f>IFERROR(VLOOKUP(I65, data!E:F, 2, FALSE), "Precio Unidad")</f>
        <v>175</v>
      </c>
      <c r="L65" s="9">
        <f t="shared" si="1"/>
        <v>7000</v>
      </c>
    </row>
    <row r="66" spans="1:12" ht="15" customHeight="1" x14ac:dyDescent="0.2">
      <c r="A66" s="14">
        <v>46148</v>
      </c>
      <c r="B66" s="5"/>
      <c r="F66" s="7" t="str">
        <f>IFERROR(VLOOKUP(G66, data!A:B, 2, FALSE), "Tienda")</f>
        <v>SC TIJUANA HIPODROMO</v>
      </c>
      <c r="G66" s="24">
        <v>4011</v>
      </c>
      <c r="H66" s="2">
        <v>567</v>
      </c>
      <c r="I66" s="3" t="s">
        <v>53</v>
      </c>
      <c r="J66" s="4">
        <v>24</v>
      </c>
      <c r="K66" s="8">
        <f>IFERROR(VLOOKUP(I66, data!E:F, 2, FALSE), "Precio Unidad")</f>
        <v>182</v>
      </c>
      <c r="L66" s="9">
        <f t="shared" si="1"/>
        <v>4368</v>
      </c>
    </row>
    <row r="67" spans="1:12" ht="15" customHeight="1" x14ac:dyDescent="0.2">
      <c r="A67" s="14">
        <v>46148</v>
      </c>
      <c r="B67" s="5"/>
      <c r="F67" s="7" t="str">
        <f>IFERROR(VLOOKUP(G67, data!A:B, 2, FALSE), "Tienda")</f>
        <v>SC TIJUANA HIPODROMO</v>
      </c>
      <c r="G67" s="24">
        <v>4011</v>
      </c>
      <c r="H67" s="2">
        <v>567</v>
      </c>
      <c r="I67" s="3" t="s">
        <v>57</v>
      </c>
      <c r="J67" s="4">
        <v>12</v>
      </c>
      <c r="K67" s="8">
        <f>IFERROR(VLOOKUP(I67, data!E:F, 2, FALSE), "Precio Unidad")</f>
        <v>307</v>
      </c>
      <c r="L67" s="9">
        <f t="shared" si="1"/>
        <v>3684</v>
      </c>
    </row>
    <row r="68" spans="1:12" ht="15" customHeight="1" x14ac:dyDescent="0.2">
      <c r="A68" s="14">
        <v>46148</v>
      </c>
      <c r="B68" s="5"/>
      <c r="F68" s="7" t="str">
        <f>IFERROR(VLOOKUP(G68, data!A:B, 2, FALSE), "Tienda")</f>
        <v>SC TIJUANA HIPODROMO</v>
      </c>
      <c r="G68" s="24">
        <v>4011</v>
      </c>
      <c r="H68" s="2">
        <v>567</v>
      </c>
      <c r="I68" s="3" t="s">
        <v>54</v>
      </c>
      <c r="J68" s="4">
        <v>24</v>
      </c>
      <c r="K68" s="8">
        <f>IFERROR(VLOOKUP(I68, data!E:F, 2, FALSE), "Precio Unidad")</f>
        <v>175</v>
      </c>
      <c r="L68" s="9">
        <f t="shared" si="1"/>
        <v>4200</v>
      </c>
    </row>
    <row r="69" spans="1:12" ht="15" customHeight="1" x14ac:dyDescent="0.2">
      <c r="A69" s="14">
        <v>46148</v>
      </c>
      <c r="B69" s="5"/>
      <c r="F69" s="7" t="str">
        <f>IFERROR(VLOOKUP(G69, data!A:B, 2, FALSE), "Tienda")</f>
        <v>SC TIJUANA 2000</v>
      </c>
      <c r="G69" s="24">
        <v>4155</v>
      </c>
      <c r="H69" s="2">
        <v>568</v>
      </c>
      <c r="I69" s="3" t="s">
        <v>53</v>
      </c>
      <c r="J69" s="4">
        <v>24</v>
      </c>
      <c r="K69" s="8">
        <f>IFERROR(VLOOKUP(I69, data!E:F, 2, FALSE), "Precio Unidad")</f>
        <v>182</v>
      </c>
      <c r="L69" s="9">
        <f t="shared" si="1"/>
        <v>4368</v>
      </c>
    </row>
    <row r="70" spans="1:12" ht="15" customHeight="1" x14ac:dyDescent="0.2">
      <c r="A70" s="14">
        <v>46148</v>
      </c>
      <c r="B70" s="5"/>
      <c r="F70" s="7" t="str">
        <f>IFERROR(VLOOKUP(G70, data!A:B, 2, FALSE), "Tienda")</f>
        <v>SC TIJUANA 2000</v>
      </c>
      <c r="G70" s="24">
        <v>4155</v>
      </c>
      <c r="H70" s="2">
        <v>568</v>
      </c>
      <c r="I70" s="3" t="s">
        <v>54</v>
      </c>
      <c r="J70" s="4">
        <v>48</v>
      </c>
      <c r="K70" s="8">
        <f>IFERROR(VLOOKUP(I70, data!E:F, 2, FALSE), "Precio Unidad")</f>
        <v>175</v>
      </c>
      <c r="L70" s="9">
        <f t="shared" si="1"/>
        <v>8400</v>
      </c>
    </row>
    <row r="71" spans="1:12" ht="15" customHeight="1" x14ac:dyDescent="0.2">
      <c r="A71" s="14">
        <v>46148</v>
      </c>
      <c r="B71" s="5"/>
      <c r="F71" s="7" t="str">
        <f>IFERROR(VLOOKUP(G71, data!A:B, 2, FALSE), "Tienda")</f>
        <v>SC ROSARITO</v>
      </c>
      <c r="G71" s="24">
        <v>4187</v>
      </c>
      <c r="H71" s="2">
        <v>569</v>
      </c>
      <c r="I71" s="3" t="s">
        <v>53</v>
      </c>
      <c r="J71" s="4">
        <v>80</v>
      </c>
      <c r="K71" s="8">
        <f>IFERROR(VLOOKUP(I71, data!E:F, 2, FALSE), "Precio Unidad")</f>
        <v>182</v>
      </c>
      <c r="L71" s="9">
        <f t="shared" si="1"/>
        <v>14560</v>
      </c>
    </row>
    <row r="72" spans="1:12" ht="15" customHeight="1" x14ac:dyDescent="0.2">
      <c r="A72" s="14">
        <v>46148</v>
      </c>
      <c r="B72" s="5"/>
      <c r="F72" s="7" t="str">
        <f>IFERROR(VLOOKUP(G72, data!A:B, 2, FALSE), "Tienda")</f>
        <v>SC ROSARITO</v>
      </c>
      <c r="G72" s="24">
        <v>4187</v>
      </c>
      <c r="H72" s="2">
        <v>569</v>
      </c>
      <c r="I72" s="3" t="s">
        <v>54</v>
      </c>
      <c r="J72" s="4">
        <v>64</v>
      </c>
      <c r="K72" s="8">
        <f>IFERROR(VLOOKUP(I72, data!E:F, 2, FALSE), "Precio Unidad")</f>
        <v>175</v>
      </c>
      <c r="L72" s="9">
        <f t="shared" si="1"/>
        <v>11200</v>
      </c>
    </row>
    <row r="73" spans="1:12" ht="15" customHeight="1" x14ac:dyDescent="0.2">
      <c r="A73" s="14">
        <v>46148</v>
      </c>
      <c r="B73" s="5"/>
      <c r="F73" s="7" t="str">
        <f>IFERROR(VLOOKUP(G73, data!A:B, 2, FALSE), "Tienda")</f>
        <v>SC MEXICALI NOVENA</v>
      </c>
      <c r="G73" s="24">
        <v>1617</v>
      </c>
      <c r="H73" s="2">
        <v>570</v>
      </c>
      <c r="I73" s="3" t="s">
        <v>53</v>
      </c>
      <c r="J73" s="4">
        <v>119</v>
      </c>
      <c r="K73" s="8">
        <f>IFERROR(VLOOKUP(I73, data!E:F, 2, FALSE), "Precio Unidad")</f>
        <v>182</v>
      </c>
      <c r="L73" s="9">
        <f t="shared" si="1"/>
        <v>21658</v>
      </c>
    </row>
    <row r="74" spans="1:12" ht="15" customHeight="1" x14ac:dyDescent="0.2">
      <c r="A74" s="14">
        <v>46148</v>
      </c>
      <c r="B74" s="5"/>
      <c r="F74" s="7" t="str">
        <f>IFERROR(VLOOKUP(G74, data!A:B, 2, FALSE), "Tienda")</f>
        <v>SC MEXICALI NOVENA</v>
      </c>
      <c r="G74" s="24">
        <v>1617</v>
      </c>
      <c r="H74" s="2">
        <v>570</v>
      </c>
      <c r="I74" s="3" t="s">
        <v>57</v>
      </c>
      <c r="J74" s="4">
        <v>28</v>
      </c>
      <c r="K74" s="8">
        <f>IFERROR(VLOOKUP(I74, data!E:F, 2, FALSE), "Precio Unidad")</f>
        <v>307</v>
      </c>
      <c r="L74" s="9">
        <f t="shared" si="1"/>
        <v>8596</v>
      </c>
    </row>
    <row r="75" spans="1:12" ht="15" customHeight="1" x14ac:dyDescent="0.2">
      <c r="A75" s="14">
        <v>46148</v>
      </c>
      <c r="B75" s="5"/>
      <c r="F75" s="7" t="str">
        <f>IFERROR(VLOOKUP(G75, data!A:B, 2, FALSE), "Tienda")</f>
        <v>SC MEXICALI NOVENA</v>
      </c>
      <c r="G75" s="24">
        <v>1617</v>
      </c>
      <c r="H75" s="2">
        <v>570</v>
      </c>
      <c r="I75" s="3" t="s">
        <v>54</v>
      </c>
      <c r="J75" s="4">
        <v>104</v>
      </c>
      <c r="K75" s="8">
        <f>IFERROR(VLOOKUP(I75, data!E:F, 2, FALSE), "Precio Unidad")</f>
        <v>175</v>
      </c>
      <c r="L75" s="9">
        <f t="shared" si="1"/>
        <v>18200</v>
      </c>
    </row>
    <row r="76" spans="1:12" ht="15" customHeight="1" x14ac:dyDescent="0.2">
      <c r="A76" s="14">
        <v>46148</v>
      </c>
      <c r="B76" s="5"/>
      <c r="F76" s="7" t="str">
        <f>IFERROR(VLOOKUP(G76, data!A:B, 2, FALSE), "Tienda")</f>
        <v>SC MEXICALI NOVENA</v>
      </c>
      <c r="G76" s="24">
        <v>1617</v>
      </c>
      <c r="H76" s="2">
        <v>570</v>
      </c>
      <c r="I76" s="3" t="s">
        <v>55</v>
      </c>
      <c r="J76" s="4">
        <v>8</v>
      </c>
      <c r="K76" s="8">
        <f>IFERROR(VLOOKUP(I76, data!E:F, 2, FALSE), "Precio Unidad")</f>
        <v>393</v>
      </c>
      <c r="L76" s="9">
        <f t="shared" si="1"/>
        <v>3144</v>
      </c>
    </row>
    <row r="77" spans="1:12" ht="15" customHeight="1" x14ac:dyDescent="0.2">
      <c r="A77" s="14">
        <v>46148</v>
      </c>
      <c r="B77" s="5"/>
      <c r="F77" s="7" t="str">
        <f>IFERROR(VLOOKUP(G77, data!A:B, 2, FALSE), "Tienda")</f>
        <v>SC MEXICALI NOVENA</v>
      </c>
      <c r="G77" s="24">
        <v>1617</v>
      </c>
      <c r="H77" s="2">
        <v>570</v>
      </c>
      <c r="I77" s="3" t="s">
        <v>56</v>
      </c>
      <c r="J77" s="4">
        <v>144</v>
      </c>
      <c r="K77" s="8">
        <f>IFERROR(VLOOKUP(I77, data!E:F, 2, FALSE), "Precio Unidad")</f>
        <v>265</v>
      </c>
      <c r="L77" s="9">
        <f t="shared" si="1"/>
        <v>38160</v>
      </c>
    </row>
    <row r="78" spans="1:12" ht="15" customHeight="1" x14ac:dyDescent="0.2">
      <c r="A78" s="14">
        <v>46149</v>
      </c>
      <c r="B78" s="5"/>
      <c r="F78" s="7" t="str">
        <f>IFERROR(VLOOKUP(G78, data!A:B, 2, FALSE), "Tienda")</f>
        <v>SC PACIFICO</v>
      </c>
      <c r="G78" s="24">
        <v>1616</v>
      </c>
      <c r="H78" s="2">
        <v>572</v>
      </c>
      <c r="I78" s="3" t="s">
        <v>53</v>
      </c>
      <c r="J78" s="4">
        <v>8</v>
      </c>
      <c r="K78" s="8">
        <f>IFERROR(VLOOKUP(I78, data!E:F, 2, FALSE), "Precio Unidad")</f>
        <v>182</v>
      </c>
      <c r="L78" s="9">
        <f t="shared" si="1"/>
        <v>1456</v>
      </c>
    </row>
    <row r="79" spans="1:12" ht="15" customHeight="1" x14ac:dyDescent="0.2">
      <c r="A79" s="14">
        <v>46149</v>
      </c>
      <c r="B79" s="5"/>
      <c r="F79" s="7" t="str">
        <f>IFERROR(VLOOKUP(G79, data!A:B, 2, FALSE), "Tienda")</f>
        <v>SC ROSARITO</v>
      </c>
      <c r="G79" s="24">
        <v>4187</v>
      </c>
      <c r="H79" s="2">
        <v>576</v>
      </c>
      <c r="I79" s="3" t="s">
        <v>53</v>
      </c>
      <c r="J79" s="4">
        <v>24</v>
      </c>
      <c r="K79" s="8">
        <f>IFERROR(VLOOKUP(I79, data!E:F, 2, FALSE), "Precio Unidad")</f>
        <v>182</v>
      </c>
      <c r="L79" s="9">
        <f t="shared" si="1"/>
        <v>4368</v>
      </c>
    </row>
    <row r="80" spans="1:12" ht="15" customHeight="1" x14ac:dyDescent="0.2">
      <c r="A80" s="14">
        <v>46149</v>
      </c>
      <c r="B80" s="5"/>
      <c r="F80" s="7" t="str">
        <f>IFERROR(VLOOKUP(G80, data!A:B, 2, FALSE), "Tienda")</f>
        <v>SC ROSARITO</v>
      </c>
      <c r="G80" s="24">
        <v>4187</v>
      </c>
      <c r="H80" s="2">
        <v>576</v>
      </c>
      <c r="I80" s="3" t="s">
        <v>54</v>
      </c>
      <c r="J80" s="4">
        <v>24</v>
      </c>
      <c r="K80" s="8">
        <f>IFERROR(VLOOKUP(I80, data!E:F, 2, FALSE), "Precio Unidad")</f>
        <v>175</v>
      </c>
      <c r="L80" s="9">
        <f t="shared" si="1"/>
        <v>4200</v>
      </c>
    </row>
    <row r="81" spans="1:12" ht="15" customHeight="1" x14ac:dyDescent="0.2">
      <c r="A81" s="14">
        <v>46149</v>
      </c>
      <c r="B81" s="5"/>
      <c r="F81" s="7" t="str">
        <f>IFERROR(VLOOKUP(G81, data!A:B, 2, FALSE), "Tienda")</f>
        <v>SC TIJUANA 2000</v>
      </c>
      <c r="G81" s="24">
        <v>4155</v>
      </c>
      <c r="H81" s="2">
        <v>577</v>
      </c>
      <c r="I81" s="3" t="s">
        <v>54</v>
      </c>
      <c r="J81" s="4">
        <v>16</v>
      </c>
      <c r="K81" s="8">
        <f>IFERROR(VLOOKUP(I81, data!E:F, 2, FALSE), "Precio Unidad")</f>
        <v>175</v>
      </c>
      <c r="L81" s="9">
        <f t="shared" si="1"/>
        <v>2800</v>
      </c>
    </row>
    <row r="82" spans="1:12" ht="15" customHeight="1" x14ac:dyDescent="0.2">
      <c r="A82" s="14">
        <v>46149</v>
      </c>
      <c r="B82" s="5"/>
      <c r="F82" s="7" t="str">
        <f>IFERROR(VLOOKUP(G82, data!A:B, 2, FALSE), "Tienda")</f>
        <v>SC TIJUANA 2000</v>
      </c>
      <c r="G82" s="24">
        <v>4155</v>
      </c>
      <c r="H82" s="2">
        <v>577</v>
      </c>
      <c r="I82" s="3" t="s">
        <v>53</v>
      </c>
      <c r="J82" s="4">
        <v>24</v>
      </c>
      <c r="K82" s="8">
        <f>IFERROR(VLOOKUP(I82, data!E:F, 2, FALSE), "Precio Unidad")</f>
        <v>182</v>
      </c>
      <c r="L82" s="9">
        <f t="shared" si="1"/>
        <v>4368</v>
      </c>
    </row>
    <row r="83" spans="1:12" ht="15" customHeight="1" x14ac:dyDescent="0.2">
      <c r="A83" s="14">
        <v>46149</v>
      </c>
      <c r="B83" s="5"/>
      <c r="F83" s="7" t="str">
        <f>IFERROR(VLOOKUP(G83, data!A:B, 2, FALSE), "Tienda")</f>
        <v>SC TIJUANA HIPODROMO</v>
      </c>
      <c r="G83" s="24">
        <v>4011</v>
      </c>
      <c r="H83" s="2">
        <v>578</v>
      </c>
      <c r="I83" s="3" t="s">
        <v>53</v>
      </c>
      <c r="J83" s="4">
        <v>24</v>
      </c>
      <c r="K83" s="8">
        <f>IFERROR(VLOOKUP(I83, data!E:F, 2, FALSE), "Precio Unidad")</f>
        <v>182</v>
      </c>
      <c r="L83" s="9">
        <f t="shared" si="1"/>
        <v>4368</v>
      </c>
    </row>
    <row r="84" spans="1:12" ht="15" customHeight="1" x14ac:dyDescent="0.2">
      <c r="A84" s="14">
        <v>46149</v>
      </c>
      <c r="B84" s="5"/>
      <c r="F84" s="7" t="str">
        <f>IFERROR(VLOOKUP(G84, data!A:B, 2, FALSE), "Tienda")</f>
        <v>SC TIJUANA HIPODROMO</v>
      </c>
      <c r="G84" s="24">
        <v>4011</v>
      </c>
      <c r="H84" s="2">
        <v>578</v>
      </c>
      <c r="I84" s="3" t="s">
        <v>57</v>
      </c>
      <c r="J84" s="4">
        <v>12</v>
      </c>
      <c r="K84" s="8">
        <f>IFERROR(VLOOKUP(I84, data!E:F, 2, FALSE), "Precio Unidad")</f>
        <v>307</v>
      </c>
      <c r="L84" s="9">
        <f t="shared" si="1"/>
        <v>3684</v>
      </c>
    </row>
    <row r="85" spans="1:12" ht="15" customHeight="1" x14ac:dyDescent="0.2">
      <c r="A85" s="14">
        <v>46149</v>
      </c>
      <c r="B85" s="5"/>
      <c r="F85" s="7" t="str">
        <f>IFERROR(VLOOKUP(G85, data!A:B, 2, FALSE), "Tienda")</f>
        <v>SC TIJUANA HIPODROMO</v>
      </c>
      <c r="G85" s="24">
        <v>4011</v>
      </c>
      <c r="H85" s="2">
        <v>578</v>
      </c>
      <c r="I85" s="3" t="s">
        <v>54</v>
      </c>
      <c r="J85" s="4">
        <v>72</v>
      </c>
      <c r="K85" s="8">
        <f>IFERROR(VLOOKUP(I85, data!E:F, 2, FALSE), "Precio Unidad")</f>
        <v>175</v>
      </c>
      <c r="L85" s="9">
        <f t="shared" si="1"/>
        <v>12600</v>
      </c>
    </row>
    <row r="86" spans="1:12" ht="15" customHeight="1" x14ac:dyDescent="0.2">
      <c r="A86" s="14">
        <v>46149</v>
      </c>
      <c r="B86" s="5"/>
      <c r="F86" s="7" t="str">
        <f>IFERROR(VLOOKUP(G86, data!A:B, 2, FALSE), "Tienda")</f>
        <v>SC TIJUANA HIPODROMO</v>
      </c>
      <c r="G86" s="24">
        <v>4011</v>
      </c>
      <c r="H86" s="2">
        <v>578</v>
      </c>
      <c r="I86" s="3" t="s">
        <v>55</v>
      </c>
      <c r="J86" s="4">
        <v>16</v>
      </c>
      <c r="K86" s="8">
        <f>IFERROR(VLOOKUP(I86, data!E:F, 2, FALSE), "Precio Unidad")</f>
        <v>393</v>
      </c>
      <c r="L86" s="9">
        <f t="shared" si="1"/>
        <v>6288</v>
      </c>
    </row>
    <row r="87" spans="1:12" ht="15" customHeight="1" x14ac:dyDescent="0.2">
      <c r="A87" s="14">
        <v>46149</v>
      </c>
      <c r="B87" s="5"/>
      <c r="F87" s="7" t="str">
        <f>IFERROR(VLOOKUP(G87, data!A:B, 2, FALSE), "Tienda")</f>
        <v>SC DIAZ ORDAZ</v>
      </c>
      <c r="G87" s="24">
        <v>3664</v>
      </c>
      <c r="H87" s="2">
        <v>579</v>
      </c>
      <c r="I87" s="3" t="s">
        <v>53</v>
      </c>
      <c r="J87" s="4">
        <v>16</v>
      </c>
      <c r="K87" s="8">
        <f>IFERROR(VLOOKUP(I87, data!E:F, 2, FALSE), "Precio Unidad")</f>
        <v>182</v>
      </c>
      <c r="L87" s="9">
        <f t="shared" si="1"/>
        <v>2912</v>
      </c>
    </row>
    <row r="88" spans="1:12" ht="15" customHeight="1" x14ac:dyDescent="0.2">
      <c r="A88" s="14">
        <v>46149</v>
      </c>
      <c r="B88" s="5"/>
      <c r="F88" s="7" t="str">
        <f>IFERROR(VLOOKUP(G88, data!A:B, 2, FALSE), "Tienda")</f>
        <v>SC DIAZ ORDAZ</v>
      </c>
      <c r="G88" s="24">
        <v>3664</v>
      </c>
      <c r="H88" s="2">
        <v>579</v>
      </c>
      <c r="I88" s="3" t="s">
        <v>54</v>
      </c>
      <c r="J88" s="4">
        <v>24</v>
      </c>
      <c r="K88" s="8">
        <f>IFERROR(VLOOKUP(I88, data!E:F, 2, FALSE), "Precio Unidad")</f>
        <v>175</v>
      </c>
      <c r="L88" s="9">
        <f t="shared" si="1"/>
        <v>4200</v>
      </c>
    </row>
    <row r="89" spans="1:12" ht="15" customHeight="1" x14ac:dyDescent="0.2">
      <c r="A89" s="14">
        <v>46149</v>
      </c>
      <c r="B89" s="5"/>
      <c r="F89" s="7" t="str">
        <f>IFERROR(VLOOKUP(G89, data!A:B, 2, FALSE), "Tienda")</f>
        <v>SC MACROPLAZA INSURGENTES</v>
      </c>
      <c r="G89" s="24">
        <v>2023</v>
      </c>
      <c r="H89" s="2">
        <v>580</v>
      </c>
      <c r="I89" s="3" t="s">
        <v>53</v>
      </c>
      <c r="J89" s="4">
        <v>56</v>
      </c>
      <c r="K89" s="8">
        <f>IFERROR(VLOOKUP(I89, data!E:F, 2, FALSE), "Precio Unidad")</f>
        <v>182</v>
      </c>
      <c r="L89" s="9">
        <f t="shared" si="1"/>
        <v>10192</v>
      </c>
    </row>
    <row r="90" spans="1:12" ht="15" customHeight="1" x14ac:dyDescent="0.2">
      <c r="A90" s="14">
        <v>46149</v>
      </c>
      <c r="B90" s="5"/>
      <c r="F90" s="7" t="str">
        <f>IFERROR(VLOOKUP(G90, data!A:B, 2, FALSE), "Tienda")</f>
        <v>SC MACROPLAZA INSURGENTES</v>
      </c>
      <c r="G90" s="24">
        <v>2023</v>
      </c>
      <c r="H90" s="2">
        <v>580</v>
      </c>
      <c r="I90" s="3" t="s">
        <v>54</v>
      </c>
      <c r="J90" s="4">
        <v>72</v>
      </c>
      <c r="K90" s="8">
        <f>IFERROR(VLOOKUP(I90, data!E:F, 2, FALSE), "Precio Unidad")</f>
        <v>175</v>
      </c>
      <c r="L90" s="9">
        <f t="shared" si="1"/>
        <v>12600</v>
      </c>
    </row>
    <row r="91" spans="1:12" ht="15" customHeight="1" x14ac:dyDescent="0.2">
      <c r="A91" s="14">
        <v>46149</v>
      </c>
      <c r="B91" s="5"/>
      <c r="F91" s="7" t="str">
        <f>IFERROR(VLOOKUP(G91, data!A:B, 2, FALSE), "Tienda")</f>
        <v>SC LOMAS DE SANTA FE</v>
      </c>
      <c r="G91" s="24">
        <v>190</v>
      </c>
      <c r="H91" s="2">
        <v>581</v>
      </c>
      <c r="I91" s="3" t="s">
        <v>53</v>
      </c>
      <c r="J91" s="4">
        <v>8</v>
      </c>
      <c r="K91" s="8">
        <f>IFERROR(VLOOKUP(I91, data!E:F, 2, FALSE), "Precio Unidad")</f>
        <v>182</v>
      </c>
      <c r="L91" s="9">
        <f t="shared" si="1"/>
        <v>1456</v>
      </c>
    </row>
    <row r="92" spans="1:12" ht="15" customHeight="1" x14ac:dyDescent="0.2">
      <c r="A92" s="14">
        <v>46149</v>
      </c>
      <c r="B92" s="5"/>
      <c r="F92" s="7" t="str">
        <f>IFERROR(VLOOKUP(G92, data!A:B, 2, FALSE), "Tienda")</f>
        <v>SC LOMAS DE SANTA FE</v>
      </c>
      <c r="G92" s="24">
        <v>190</v>
      </c>
      <c r="H92" s="2">
        <v>581</v>
      </c>
      <c r="I92" s="3" t="s">
        <v>54</v>
      </c>
      <c r="J92" s="4">
        <v>16</v>
      </c>
      <c r="K92" s="8">
        <f>IFERROR(VLOOKUP(I92, data!E:F, 2, FALSE), "Precio Unidad")</f>
        <v>175</v>
      </c>
      <c r="L92" s="9">
        <f t="shared" si="1"/>
        <v>2800</v>
      </c>
    </row>
    <row r="93" spans="1:12" ht="15" customHeight="1" x14ac:dyDescent="0.2">
      <c r="A93" s="14">
        <v>46149</v>
      </c>
      <c r="B93" s="5"/>
      <c r="F93" s="7" t="str">
        <f>IFERROR(VLOOKUP(G93, data!A:B, 2, FALSE), "Tienda")</f>
        <v>SC LOMAS DE SANTA FE</v>
      </c>
      <c r="G93" s="24">
        <v>190</v>
      </c>
      <c r="H93" s="2">
        <v>581</v>
      </c>
      <c r="I93" s="3" t="s">
        <v>55</v>
      </c>
      <c r="J93" s="4">
        <v>4</v>
      </c>
      <c r="K93" s="8">
        <f>IFERROR(VLOOKUP(I93, data!E:F, 2, FALSE), "Precio Unidad")</f>
        <v>393</v>
      </c>
      <c r="L93" s="9">
        <f t="shared" si="1"/>
        <v>1572</v>
      </c>
    </row>
    <row r="94" spans="1:12" ht="15" customHeight="1" x14ac:dyDescent="0.2">
      <c r="A94" s="14">
        <v>46149</v>
      </c>
      <c r="B94" s="5"/>
      <c r="F94" s="7" t="str">
        <f>IFERROR(VLOOKUP(G94, data!A:B, 2, FALSE), "Tienda")</f>
        <v>SC PLAYAS DE TIJUANA</v>
      </c>
      <c r="G94" s="24">
        <v>1613</v>
      </c>
      <c r="H94" s="2">
        <v>582</v>
      </c>
      <c r="I94" s="3" t="s">
        <v>53</v>
      </c>
      <c r="J94" s="4">
        <v>56</v>
      </c>
      <c r="K94" s="8">
        <f>IFERROR(VLOOKUP(I94, data!E:F, 2, FALSE), "Precio Unidad")</f>
        <v>182</v>
      </c>
      <c r="L94" s="9">
        <f t="shared" si="1"/>
        <v>10192</v>
      </c>
    </row>
    <row r="95" spans="1:12" ht="15" customHeight="1" x14ac:dyDescent="0.2">
      <c r="A95" s="14">
        <v>46149</v>
      </c>
      <c r="B95" s="5"/>
      <c r="F95" s="7" t="str">
        <f>IFERROR(VLOOKUP(G95, data!A:B, 2, FALSE), "Tienda")</f>
        <v>SC PLAYAS DE TIJUANA</v>
      </c>
      <c r="G95" s="24">
        <v>1613</v>
      </c>
      <c r="H95" s="2">
        <v>582</v>
      </c>
      <c r="I95" s="3" t="s">
        <v>54</v>
      </c>
      <c r="J95" s="4">
        <v>48</v>
      </c>
      <c r="K95" s="8">
        <f>IFERROR(VLOOKUP(I95, data!E:F, 2, FALSE), "Precio Unidad")</f>
        <v>175</v>
      </c>
      <c r="L95" s="9">
        <f t="shared" si="1"/>
        <v>8400</v>
      </c>
    </row>
    <row r="96" spans="1:12" ht="15" customHeight="1" x14ac:dyDescent="0.2">
      <c r="A96" s="14">
        <v>46149</v>
      </c>
      <c r="B96" s="5"/>
      <c r="F96" s="7" t="str">
        <f>IFERROR(VLOOKUP(G96, data!A:B, 2, FALSE), "Tienda")</f>
        <v>SC PLAYAS DE TIJUANA</v>
      </c>
      <c r="G96" s="24">
        <v>1613</v>
      </c>
      <c r="H96" s="2">
        <v>582</v>
      </c>
      <c r="I96" s="3" t="s">
        <v>55</v>
      </c>
      <c r="J96" s="4">
        <v>4</v>
      </c>
      <c r="K96" s="8">
        <f>IFERROR(VLOOKUP(I96, data!E:F, 2, FALSE), "Precio Unidad")</f>
        <v>393</v>
      </c>
      <c r="L96" s="9">
        <f t="shared" si="1"/>
        <v>1572</v>
      </c>
    </row>
    <row r="97" spans="1:12" ht="15" customHeight="1" x14ac:dyDescent="0.2">
      <c r="A97" s="14">
        <v>46150</v>
      </c>
      <c r="B97" s="5"/>
      <c r="F97" s="7" t="str">
        <f>IFERROR(VLOOKUP(G97, data!A:B, 2, FALSE), "Tienda")</f>
        <v>SC ROSARITO</v>
      </c>
      <c r="G97" s="24">
        <v>4187</v>
      </c>
      <c r="H97" s="2">
        <v>587</v>
      </c>
      <c r="I97" s="3" t="s">
        <v>53</v>
      </c>
      <c r="J97" s="4">
        <v>24</v>
      </c>
      <c r="K97" s="8">
        <f>IFERROR(VLOOKUP(I97, data!E:F, 2, FALSE), "Precio Unidad")</f>
        <v>182</v>
      </c>
      <c r="L97" s="9">
        <f t="shared" ref="L97:L155" si="2">K97*J97</f>
        <v>4368</v>
      </c>
    </row>
    <row r="98" spans="1:12" ht="15" customHeight="1" x14ac:dyDescent="0.2">
      <c r="A98" s="14">
        <v>46150</v>
      </c>
      <c r="B98" s="5"/>
      <c r="F98" s="7" t="str">
        <f>IFERROR(VLOOKUP(G98, data!A:B, 2, FALSE), "Tienda")</f>
        <v>SC ROSARITO</v>
      </c>
      <c r="G98" s="24">
        <v>4187</v>
      </c>
      <c r="H98" s="2">
        <v>587</v>
      </c>
      <c r="I98" s="3" t="s">
        <v>54</v>
      </c>
      <c r="J98" s="4">
        <v>24</v>
      </c>
      <c r="K98" s="8">
        <f>IFERROR(VLOOKUP(I98, data!E:F, 2, FALSE), "Precio Unidad")</f>
        <v>175</v>
      </c>
      <c r="L98" s="9">
        <f t="shared" si="2"/>
        <v>4200</v>
      </c>
    </row>
    <row r="99" spans="1:12" ht="15" customHeight="1" x14ac:dyDescent="0.2">
      <c r="A99" s="14">
        <v>46150</v>
      </c>
      <c r="B99" s="5"/>
      <c r="F99" s="7" t="str">
        <f>IFERROR(VLOOKUP(G99, data!A:B, 2, FALSE), "Tienda")</f>
        <v>SC TIJUANA 2000</v>
      </c>
      <c r="G99" s="24">
        <v>4155</v>
      </c>
      <c r="H99" s="2">
        <v>588</v>
      </c>
      <c r="I99" s="3" t="s">
        <v>53</v>
      </c>
      <c r="J99" s="4">
        <v>24</v>
      </c>
      <c r="K99" s="8">
        <f>IFERROR(VLOOKUP(I99, data!E:F, 2, FALSE), "Precio Unidad")</f>
        <v>182</v>
      </c>
      <c r="L99" s="9">
        <f t="shared" si="2"/>
        <v>4368</v>
      </c>
    </row>
    <row r="100" spans="1:12" ht="15" customHeight="1" x14ac:dyDescent="0.2">
      <c r="A100" s="14">
        <v>46150</v>
      </c>
      <c r="B100" s="5"/>
      <c r="F100" s="7" t="str">
        <f>IFERROR(VLOOKUP(G100, data!A:B, 2, FALSE), "Tienda")</f>
        <v>SC TIJUANA 2000</v>
      </c>
      <c r="G100" s="24">
        <v>4155</v>
      </c>
      <c r="H100" s="2">
        <v>588</v>
      </c>
      <c r="I100" s="3" t="s">
        <v>54</v>
      </c>
      <c r="J100" s="4">
        <v>16</v>
      </c>
      <c r="K100" s="8">
        <f>IFERROR(VLOOKUP(I100, data!E:F, 2, FALSE), "Precio Unidad")</f>
        <v>175</v>
      </c>
      <c r="L100" s="9">
        <f t="shared" si="2"/>
        <v>2800</v>
      </c>
    </row>
    <row r="101" spans="1:12" ht="15" customHeight="1" x14ac:dyDescent="0.2">
      <c r="A101" s="14">
        <v>46150</v>
      </c>
      <c r="B101" s="5"/>
      <c r="F101" s="7" t="str">
        <f>IFERROR(VLOOKUP(G101, data!A:B, 2, FALSE), "Tienda")</f>
        <v>SC TIJUANA HIPODROMO</v>
      </c>
      <c r="G101" s="24">
        <v>4011</v>
      </c>
      <c r="H101" s="2">
        <v>589</v>
      </c>
      <c r="I101" s="3" t="s">
        <v>53</v>
      </c>
      <c r="J101" s="4">
        <v>16</v>
      </c>
      <c r="K101" s="8">
        <f>IFERROR(VLOOKUP(I101, data!E:F, 2, FALSE), "Precio Unidad")</f>
        <v>182</v>
      </c>
      <c r="L101" s="9">
        <f t="shared" si="2"/>
        <v>2912</v>
      </c>
    </row>
    <row r="102" spans="1:12" ht="15" customHeight="1" x14ac:dyDescent="0.2">
      <c r="A102" s="14">
        <v>46150</v>
      </c>
      <c r="B102" s="5"/>
      <c r="F102" s="7" t="str">
        <f>IFERROR(VLOOKUP(G102, data!A:B, 2, FALSE), "Tienda")</f>
        <v>SC TIJUANA HIPODROMO</v>
      </c>
      <c r="G102" s="24">
        <v>4011</v>
      </c>
      <c r="H102" s="2">
        <v>589</v>
      </c>
      <c r="I102" s="3" t="s">
        <v>57</v>
      </c>
      <c r="J102" s="4">
        <v>8</v>
      </c>
      <c r="K102" s="8">
        <f>IFERROR(VLOOKUP(I102, data!E:F, 2, FALSE), "Precio Unidad")</f>
        <v>307</v>
      </c>
      <c r="L102" s="9">
        <f t="shared" si="2"/>
        <v>2456</v>
      </c>
    </row>
    <row r="103" spans="1:12" ht="15" customHeight="1" x14ac:dyDescent="0.2">
      <c r="A103" s="14">
        <v>46150</v>
      </c>
      <c r="B103" s="5"/>
      <c r="F103" s="7" t="str">
        <f>IFERROR(VLOOKUP(G103, data!A:B, 2, FALSE), "Tienda")</f>
        <v>SC TIJUANA HIPODROMO</v>
      </c>
      <c r="G103" s="24">
        <v>4011</v>
      </c>
      <c r="H103" s="2">
        <v>589</v>
      </c>
      <c r="I103" s="3" t="s">
        <v>54</v>
      </c>
      <c r="J103" s="4">
        <v>24</v>
      </c>
      <c r="K103" s="8">
        <f>IFERROR(VLOOKUP(I103, data!E:F, 2, FALSE), "Precio Unidad")</f>
        <v>175</v>
      </c>
      <c r="L103" s="9">
        <f t="shared" si="2"/>
        <v>4200</v>
      </c>
    </row>
    <row r="104" spans="1:12" ht="15" customHeight="1" x14ac:dyDescent="0.2">
      <c r="A104" s="14">
        <v>46150</v>
      </c>
      <c r="B104" s="5"/>
      <c r="F104" s="7" t="str">
        <f>IFERROR(VLOOKUP(G104, data!A:B, 2, FALSE), "Tienda")</f>
        <v>SC PLAYAS DE TIJUANA</v>
      </c>
      <c r="G104" s="24">
        <v>1613</v>
      </c>
      <c r="H104" s="2">
        <v>590</v>
      </c>
      <c r="I104" s="3" t="s">
        <v>53</v>
      </c>
      <c r="J104" s="4">
        <v>24</v>
      </c>
      <c r="K104" s="8">
        <f>IFERROR(VLOOKUP(I104, data!E:F, 2, FALSE), "Precio Unidad")</f>
        <v>182</v>
      </c>
      <c r="L104" s="9">
        <f t="shared" si="2"/>
        <v>4368</v>
      </c>
    </row>
    <row r="105" spans="1:12" ht="15" customHeight="1" x14ac:dyDescent="0.2">
      <c r="A105" s="14">
        <v>46150</v>
      </c>
      <c r="B105" s="5"/>
      <c r="F105" s="7" t="str">
        <f>IFERROR(VLOOKUP(G105, data!A:B, 2, FALSE), "Tienda")</f>
        <v>SC PLAYAS DE TIJUANA</v>
      </c>
      <c r="G105" s="24">
        <v>1613</v>
      </c>
      <c r="H105" s="2">
        <v>590</v>
      </c>
      <c r="I105" s="3" t="s">
        <v>54</v>
      </c>
      <c r="J105" s="4">
        <v>24</v>
      </c>
      <c r="K105" s="8">
        <f>IFERROR(VLOOKUP(I105, data!E:F, 2, FALSE), "Precio Unidad")</f>
        <v>175</v>
      </c>
      <c r="L105" s="9">
        <f t="shared" si="2"/>
        <v>4200</v>
      </c>
    </row>
    <row r="106" spans="1:12" ht="15" customHeight="1" x14ac:dyDescent="0.2">
      <c r="A106" s="14">
        <v>46150</v>
      </c>
      <c r="B106" s="5"/>
      <c r="F106" s="7" t="str">
        <f>IFERROR(VLOOKUP(G106, data!A:B, 2, FALSE), "Tienda")</f>
        <v>SC PLAYAS DE TIJUANA</v>
      </c>
      <c r="G106" s="24">
        <v>1613</v>
      </c>
      <c r="H106" s="2">
        <v>590</v>
      </c>
      <c r="I106" s="3" t="s">
        <v>55</v>
      </c>
      <c r="J106" s="4">
        <v>4</v>
      </c>
      <c r="K106" s="8">
        <f>IFERROR(VLOOKUP(I106, data!E:F, 2, FALSE), "Precio Unidad")</f>
        <v>393</v>
      </c>
      <c r="L106" s="9">
        <f t="shared" si="2"/>
        <v>1572</v>
      </c>
    </row>
    <row r="107" spans="1:12" ht="15" customHeight="1" x14ac:dyDescent="0.2">
      <c r="A107" s="14">
        <v>46150</v>
      </c>
      <c r="B107" s="5"/>
      <c r="F107" s="7" t="str">
        <f>IFERROR(VLOOKUP(G107, data!A:B, 2, FALSE), "Tienda")</f>
        <v>SC ENSENADA</v>
      </c>
      <c r="G107" s="24">
        <v>3015</v>
      </c>
      <c r="H107" s="2">
        <v>593</v>
      </c>
      <c r="I107" s="3" t="s">
        <v>53</v>
      </c>
      <c r="J107" s="4">
        <v>64</v>
      </c>
      <c r="K107" s="8">
        <f>IFERROR(VLOOKUP(I107, data!E:F, 2, FALSE), "Precio Unidad")</f>
        <v>182</v>
      </c>
      <c r="L107" s="9">
        <f t="shared" si="2"/>
        <v>11648</v>
      </c>
    </row>
    <row r="108" spans="1:12" ht="15" customHeight="1" x14ac:dyDescent="0.2">
      <c r="A108" s="14">
        <v>46150</v>
      </c>
      <c r="B108" s="5"/>
      <c r="F108" s="7" t="str">
        <f>IFERROR(VLOOKUP(G108, data!A:B, 2, FALSE), "Tienda")</f>
        <v>SC ENSENADA</v>
      </c>
      <c r="G108" s="24">
        <v>3015</v>
      </c>
      <c r="H108" s="2">
        <v>593</v>
      </c>
      <c r="I108" s="3" t="s">
        <v>54</v>
      </c>
      <c r="J108" s="4">
        <v>72</v>
      </c>
      <c r="K108" s="8">
        <f>IFERROR(VLOOKUP(I108, data!E:F, 2, FALSE), "Precio Unidad")</f>
        <v>175</v>
      </c>
      <c r="L108" s="9">
        <f t="shared" si="2"/>
        <v>12600</v>
      </c>
    </row>
    <row r="109" spans="1:12" ht="15" customHeight="1" x14ac:dyDescent="0.2">
      <c r="A109" s="14">
        <v>46150</v>
      </c>
      <c r="B109" s="5"/>
      <c r="F109" s="7" t="str">
        <f>IFERROR(VLOOKUP(G109, data!A:B, 2, FALSE), "Tienda")</f>
        <v>SC ENSENADA CENTRO</v>
      </c>
      <c r="G109" s="24">
        <v>2947</v>
      </c>
      <c r="H109" s="2">
        <v>594</v>
      </c>
      <c r="I109" s="3" t="s">
        <v>53</v>
      </c>
      <c r="J109" s="4">
        <v>48</v>
      </c>
      <c r="K109" s="8">
        <f>IFERROR(VLOOKUP(I109, data!E:F, 2, FALSE), "Precio Unidad")</f>
        <v>182</v>
      </c>
      <c r="L109" s="9">
        <f t="shared" si="2"/>
        <v>8736</v>
      </c>
    </row>
    <row r="110" spans="1:12" ht="15" customHeight="1" x14ac:dyDescent="0.2">
      <c r="A110" s="14">
        <v>46150</v>
      </c>
      <c r="B110" s="5"/>
      <c r="F110" s="7" t="str">
        <f>IFERROR(VLOOKUP(G110, data!A:B, 2, FALSE), "Tienda")</f>
        <v>SC ENSENADA CENTRO</v>
      </c>
      <c r="G110" s="24">
        <v>2947</v>
      </c>
      <c r="H110" s="2">
        <v>594</v>
      </c>
      <c r="I110" s="3" t="s">
        <v>54</v>
      </c>
      <c r="J110" s="4">
        <v>104</v>
      </c>
      <c r="K110" s="8">
        <f>IFERROR(VLOOKUP(I110, data!E:F, 2, FALSE), "Precio Unidad")</f>
        <v>175</v>
      </c>
      <c r="L110" s="9">
        <f t="shared" si="2"/>
        <v>18200</v>
      </c>
    </row>
    <row r="111" spans="1:12" ht="15" customHeight="1" x14ac:dyDescent="0.2">
      <c r="A111" s="14">
        <v>46150</v>
      </c>
      <c r="B111" s="5"/>
      <c r="F111" s="7" t="str">
        <f>IFERROR(VLOOKUP(G111, data!A:B, 2, FALSE), "Tienda")</f>
        <v>SC NUEVO MEXICALI</v>
      </c>
      <c r="G111" s="24">
        <v>5041</v>
      </c>
      <c r="H111" s="2">
        <v>595</v>
      </c>
      <c r="I111" s="3" t="s">
        <v>53</v>
      </c>
      <c r="J111" s="4">
        <v>186</v>
      </c>
      <c r="K111" s="8">
        <f>IFERROR(VLOOKUP(I111, data!E:F, 2, FALSE), "Precio Unidad")</f>
        <v>182</v>
      </c>
      <c r="L111" s="9">
        <f t="shared" si="2"/>
        <v>33852</v>
      </c>
    </row>
    <row r="112" spans="1:12" ht="15" customHeight="1" x14ac:dyDescent="0.2">
      <c r="A112" s="14">
        <v>46150</v>
      </c>
      <c r="B112" s="5"/>
      <c r="F112" s="7" t="str">
        <f>IFERROR(VLOOKUP(G112, data!A:B, 2, FALSE), "Tienda")</f>
        <v>SC GALERIAS DEL VALLE</v>
      </c>
      <c r="G112" s="24">
        <v>4026</v>
      </c>
      <c r="H112" s="2">
        <v>596</v>
      </c>
      <c r="I112" s="3" t="s">
        <v>53</v>
      </c>
      <c r="J112" s="4">
        <v>8</v>
      </c>
      <c r="K112" s="8">
        <f>IFERROR(VLOOKUP(I112, data!E:F, 2, FALSE), "Precio Unidad")</f>
        <v>182</v>
      </c>
      <c r="L112" s="9">
        <f t="shared" si="2"/>
        <v>1456</v>
      </c>
    </row>
    <row r="113" spans="1:12" ht="15" customHeight="1" x14ac:dyDescent="0.2">
      <c r="A113" s="14">
        <v>46150</v>
      </c>
      <c r="B113" s="5"/>
      <c r="F113" s="7" t="str">
        <f>IFERROR(VLOOKUP(G113, data!A:B, 2, FALSE), "Tienda")</f>
        <v>SC GALERIAS DEL VALLE</v>
      </c>
      <c r="G113" s="24">
        <v>4026</v>
      </c>
      <c r="H113" s="2">
        <v>596</v>
      </c>
      <c r="I113" s="3" t="s">
        <v>55</v>
      </c>
      <c r="J113" s="4">
        <v>40</v>
      </c>
      <c r="K113" s="8">
        <f>IFERROR(VLOOKUP(I113, data!E:F, 2, FALSE), "Precio Unidad")</f>
        <v>393</v>
      </c>
      <c r="L113" s="9">
        <f t="shared" si="2"/>
        <v>15720</v>
      </c>
    </row>
    <row r="114" spans="1:12" ht="15" customHeight="1" x14ac:dyDescent="0.2">
      <c r="A114" s="14">
        <v>46150</v>
      </c>
      <c r="B114" s="5"/>
      <c r="F114" s="7" t="str">
        <f>IFERROR(VLOOKUP(G114, data!A:B, 2, FALSE), "Tienda")</f>
        <v>SC GALERIAS DEL VALLE</v>
      </c>
      <c r="G114" s="24">
        <v>4026</v>
      </c>
      <c r="H114" s="2">
        <v>596</v>
      </c>
      <c r="I114" s="3" t="s">
        <v>56</v>
      </c>
      <c r="J114" s="4">
        <v>8</v>
      </c>
      <c r="K114" s="8">
        <f>IFERROR(VLOOKUP(I114, data!E:F, 2, FALSE), "Precio Unidad")</f>
        <v>265</v>
      </c>
      <c r="L114" s="9">
        <f t="shared" si="2"/>
        <v>2120</v>
      </c>
    </row>
    <row r="115" spans="1:12" ht="15" customHeight="1" x14ac:dyDescent="0.2">
      <c r="A115" s="14">
        <v>46150</v>
      </c>
      <c r="B115" s="5"/>
      <c r="F115" s="7" t="str">
        <f>IFERROR(VLOOKUP(G115, data!A:B, 2, FALSE), "Tienda")</f>
        <v>SC MEXICALI NOVENA</v>
      </c>
      <c r="G115" s="24">
        <v>1617</v>
      </c>
      <c r="H115" s="2">
        <v>597</v>
      </c>
      <c r="I115" s="3" t="s">
        <v>53</v>
      </c>
      <c r="J115" s="4">
        <v>79</v>
      </c>
      <c r="K115" s="8">
        <f>IFERROR(VLOOKUP(I115, data!E:F, 2, FALSE), "Precio Unidad")</f>
        <v>182</v>
      </c>
      <c r="L115" s="9">
        <f t="shared" si="2"/>
        <v>14378</v>
      </c>
    </row>
    <row r="116" spans="1:12" ht="15" customHeight="1" x14ac:dyDescent="0.2">
      <c r="A116" s="14">
        <v>46150</v>
      </c>
      <c r="B116" s="5"/>
      <c r="F116" s="7" t="str">
        <f>IFERROR(VLOOKUP(G116, data!A:B, 2, FALSE), "Tienda")</f>
        <v>SC MEXICALI NOVENA</v>
      </c>
      <c r="G116" s="24">
        <v>1617</v>
      </c>
      <c r="H116" s="2">
        <v>597</v>
      </c>
      <c r="I116" s="3" t="s">
        <v>56</v>
      </c>
      <c r="J116" s="4">
        <v>100</v>
      </c>
      <c r="K116" s="8">
        <f>IFERROR(VLOOKUP(I116, data!E:F, 2, FALSE), "Precio Unidad")</f>
        <v>265</v>
      </c>
      <c r="L116" s="9">
        <f t="shared" si="2"/>
        <v>26500</v>
      </c>
    </row>
    <row r="117" spans="1:12" ht="15" customHeight="1" x14ac:dyDescent="0.2">
      <c r="A117" s="14">
        <v>46150</v>
      </c>
      <c r="B117" s="5"/>
      <c r="F117" s="7" t="str">
        <f>IFERROR(VLOOKUP(G117, data!A:B, 2, FALSE), "Tienda")</f>
        <v>SC PLAZA SAN PEDRO</v>
      </c>
      <c r="G117" s="24">
        <v>1140</v>
      </c>
      <c r="H117" s="2">
        <v>598</v>
      </c>
      <c r="I117" s="3" t="s">
        <v>55</v>
      </c>
      <c r="J117" s="4">
        <v>24</v>
      </c>
      <c r="K117" s="8">
        <f>IFERROR(VLOOKUP(I117, data!E:F, 2, FALSE), "Precio Unidad")</f>
        <v>393</v>
      </c>
      <c r="L117" s="9">
        <f t="shared" si="2"/>
        <v>9432</v>
      </c>
    </row>
    <row r="118" spans="1:12" ht="15" customHeight="1" x14ac:dyDescent="0.2">
      <c r="A118" s="14">
        <v>46150</v>
      </c>
      <c r="B118" s="5"/>
      <c r="F118" s="7" t="str">
        <f>IFERROR(VLOOKUP(G118, data!A:B, 2, FALSE), "Tienda")</f>
        <v>SC PLAZA SAN PEDRO</v>
      </c>
      <c r="G118" s="24">
        <v>1140</v>
      </c>
      <c r="H118" s="2">
        <v>598</v>
      </c>
      <c r="I118" s="3" t="s">
        <v>56</v>
      </c>
      <c r="J118" s="4">
        <v>64</v>
      </c>
      <c r="K118" s="8">
        <f>IFERROR(VLOOKUP(I118, data!E:F, 2, FALSE), "Precio Unidad")</f>
        <v>265</v>
      </c>
      <c r="L118" s="9">
        <f t="shared" si="2"/>
        <v>16960</v>
      </c>
    </row>
    <row r="119" spans="1:12" ht="15" customHeight="1" x14ac:dyDescent="0.2">
      <c r="A119" s="14">
        <v>46151</v>
      </c>
      <c r="B119" s="5"/>
      <c r="F119" s="7" t="str">
        <f>IFERROR(VLOOKUP(G119, data!A:B, 2, FALSE), "Tienda")</f>
        <v>SC GALERIAS DEL VALLE</v>
      </c>
      <c r="G119" s="24">
        <v>4026</v>
      </c>
      <c r="H119" s="2">
        <v>599</v>
      </c>
      <c r="I119" s="3" t="s">
        <v>56</v>
      </c>
      <c r="J119" s="4">
        <v>50</v>
      </c>
      <c r="K119" s="8">
        <f>IFERROR(VLOOKUP(I119, data!E:F, 2, FALSE), "Precio Unidad")</f>
        <v>265</v>
      </c>
      <c r="L119" s="9">
        <f t="shared" si="2"/>
        <v>13250</v>
      </c>
    </row>
    <row r="120" spans="1:12" ht="15" customHeight="1" x14ac:dyDescent="0.2">
      <c r="A120" s="14">
        <v>46153</v>
      </c>
      <c r="B120" s="5"/>
      <c r="F120" s="7" t="str">
        <f>IFERROR(VLOOKUP(G120, data!A:B, 2, FALSE), "Tienda")</f>
        <v>SC NUEVO MEXICALI</v>
      </c>
      <c r="G120" s="24">
        <v>5041</v>
      </c>
      <c r="H120" s="2">
        <v>600</v>
      </c>
      <c r="I120" s="3" t="s">
        <v>55</v>
      </c>
      <c r="J120" s="4">
        <v>8</v>
      </c>
      <c r="K120" s="8">
        <f>IFERROR(VLOOKUP(I120, data!E:F, 2, FALSE), "Precio Unidad")</f>
        <v>393</v>
      </c>
      <c r="L120" s="9">
        <f t="shared" si="2"/>
        <v>3144</v>
      </c>
    </row>
    <row r="121" spans="1:12" ht="15" customHeight="1" x14ac:dyDescent="0.2">
      <c r="A121" s="14">
        <v>46153</v>
      </c>
      <c r="B121" s="5"/>
      <c r="F121" s="7" t="str">
        <f>IFERROR(VLOOKUP(G121, data!A:B, 2, FALSE), "Tienda")</f>
        <v>SC NUEVO MEXICALI</v>
      </c>
      <c r="G121" s="24">
        <v>5041</v>
      </c>
      <c r="H121" s="2">
        <v>600</v>
      </c>
      <c r="I121" s="3" t="s">
        <v>56</v>
      </c>
      <c r="J121" s="4">
        <v>48</v>
      </c>
      <c r="K121" s="8">
        <f>IFERROR(VLOOKUP(I121, data!E:F, 2, FALSE), "Precio Unidad")</f>
        <v>265</v>
      </c>
      <c r="L121" s="9">
        <f t="shared" si="2"/>
        <v>12720</v>
      </c>
    </row>
    <row r="122" spans="1:12" ht="15" customHeight="1" x14ac:dyDescent="0.2">
      <c r="A122" s="14">
        <v>46153</v>
      </c>
      <c r="B122" s="5"/>
      <c r="F122" s="7" t="str">
        <f>IFERROR(VLOOKUP(G122, data!A:B, 2, FALSE), "Tienda")</f>
        <v>SC MEXICALI NOVENA</v>
      </c>
      <c r="G122" s="24">
        <v>1617</v>
      </c>
      <c r="H122" s="2">
        <v>601</v>
      </c>
      <c r="I122" s="3" t="s">
        <v>53</v>
      </c>
      <c r="J122" s="4">
        <v>12</v>
      </c>
      <c r="K122" s="8">
        <f>IFERROR(VLOOKUP(I122, data!E:F, 2, FALSE), "Precio Unidad")</f>
        <v>182</v>
      </c>
      <c r="L122" s="9">
        <f t="shared" si="2"/>
        <v>2184</v>
      </c>
    </row>
    <row r="123" spans="1:12" ht="15" customHeight="1" x14ac:dyDescent="0.2">
      <c r="A123" s="14">
        <v>46153</v>
      </c>
      <c r="B123" s="5"/>
      <c r="F123" s="7" t="str">
        <f>IFERROR(VLOOKUP(G123, data!A:B, 2, FALSE), "Tienda")</f>
        <v>SC MEXICALI NOVENA</v>
      </c>
      <c r="G123" s="24">
        <v>1617</v>
      </c>
      <c r="H123" s="2">
        <v>601</v>
      </c>
      <c r="I123" s="3" t="s">
        <v>56</v>
      </c>
      <c r="J123" s="4">
        <v>48</v>
      </c>
      <c r="K123" s="8">
        <f>IFERROR(VLOOKUP(I123, data!E:F, 2, FALSE), "Precio Unidad")</f>
        <v>265</v>
      </c>
      <c r="L123" s="9">
        <f t="shared" si="2"/>
        <v>12720</v>
      </c>
    </row>
    <row r="124" spans="1:12" ht="15" customHeight="1" x14ac:dyDescent="0.2">
      <c r="A124" s="14">
        <v>46153</v>
      </c>
      <c r="B124" s="5"/>
      <c r="F124" s="7" t="str">
        <f>IFERROR(VLOOKUP(G124, data!A:B, 2, FALSE), "Tienda")</f>
        <v>SC PLAZA SAN PEDRO</v>
      </c>
      <c r="G124" s="24">
        <v>1140</v>
      </c>
      <c r="H124" s="2">
        <v>602</v>
      </c>
      <c r="I124" s="3" t="s">
        <v>53</v>
      </c>
      <c r="J124" s="4">
        <v>16</v>
      </c>
      <c r="K124" s="8">
        <f>IFERROR(VLOOKUP(I124, data!E:F, 2, FALSE), "Precio Unidad")</f>
        <v>182</v>
      </c>
      <c r="L124" s="9">
        <f t="shared" si="2"/>
        <v>2912</v>
      </c>
    </row>
    <row r="125" spans="1:12" ht="15" customHeight="1" x14ac:dyDescent="0.2">
      <c r="A125" s="14">
        <v>46153</v>
      </c>
      <c r="B125" s="5"/>
      <c r="F125" s="7" t="str">
        <f>IFERROR(VLOOKUP(G125, data!A:B, 2, FALSE), "Tienda")</f>
        <v>SC PLAZA SAN PEDRO</v>
      </c>
      <c r="G125" s="24">
        <v>1140</v>
      </c>
      <c r="H125" s="2">
        <v>602</v>
      </c>
      <c r="I125" s="3" t="s">
        <v>55</v>
      </c>
      <c r="J125" s="4">
        <v>4</v>
      </c>
      <c r="K125" s="8">
        <f>IFERROR(VLOOKUP(I125, data!E:F, 2, FALSE), "Precio Unidad")</f>
        <v>393</v>
      </c>
      <c r="L125" s="9">
        <f t="shared" si="2"/>
        <v>1572</v>
      </c>
    </row>
    <row r="126" spans="1:12" ht="15" customHeight="1" x14ac:dyDescent="0.2">
      <c r="A126" s="14">
        <v>46153</v>
      </c>
      <c r="B126" s="5"/>
      <c r="F126" s="7" t="str">
        <f>IFERROR(VLOOKUP(G126, data!A:B, 2, FALSE), "Tienda")</f>
        <v>SC PLAZA SAN PEDRO</v>
      </c>
      <c r="G126" s="24">
        <v>1140</v>
      </c>
      <c r="H126" s="2">
        <v>602</v>
      </c>
      <c r="I126" s="3" t="s">
        <v>56</v>
      </c>
      <c r="J126" s="4">
        <v>48</v>
      </c>
      <c r="K126" s="8">
        <f>IFERROR(VLOOKUP(I126, data!E:F, 2, FALSE), "Precio Unidad")</f>
        <v>265</v>
      </c>
      <c r="L126" s="9">
        <f t="shared" si="2"/>
        <v>12720</v>
      </c>
    </row>
    <row r="127" spans="1:12" ht="15" customHeight="1" x14ac:dyDescent="0.2">
      <c r="A127" s="14">
        <v>46153</v>
      </c>
      <c r="B127" s="5"/>
      <c r="F127" s="7" t="str">
        <f>IFERROR(VLOOKUP(G127, data!A:B, 2, FALSE), "Tienda")</f>
        <v>SC MEXICALI</v>
      </c>
      <c r="G127" s="24">
        <v>2304</v>
      </c>
      <c r="H127" s="2">
        <v>603</v>
      </c>
      <c r="I127" s="3" t="s">
        <v>53</v>
      </c>
      <c r="J127" s="4">
        <v>16</v>
      </c>
      <c r="K127" s="8">
        <f>IFERROR(VLOOKUP(I127, data!E:F, 2, FALSE), "Precio Unidad")</f>
        <v>182</v>
      </c>
      <c r="L127" s="9">
        <f t="shared" si="2"/>
        <v>2912</v>
      </c>
    </row>
    <row r="128" spans="1:12" ht="15" customHeight="1" x14ac:dyDescent="0.2">
      <c r="A128" s="14">
        <v>46153</v>
      </c>
      <c r="B128" s="5"/>
      <c r="F128" s="7" t="str">
        <f>IFERROR(VLOOKUP(G128, data!A:B, 2, FALSE), "Tienda")</f>
        <v>SC MEXICALI</v>
      </c>
      <c r="G128" s="24">
        <v>2304</v>
      </c>
      <c r="H128" s="2">
        <v>603</v>
      </c>
      <c r="I128" s="3" t="s">
        <v>56</v>
      </c>
      <c r="J128" s="4">
        <v>24</v>
      </c>
      <c r="K128" s="8">
        <f>IFERROR(VLOOKUP(I128, data!E:F, 2, FALSE), "Precio Unidad")</f>
        <v>265</v>
      </c>
      <c r="L128" s="9">
        <f t="shared" si="2"/>
        <v>6360</v>
      </c>
    </row>
    <row r="129" spans="1:12" ht="15" customHeight="1" x14ac:dyDescent="0.2">
      <c r="A129" s="14">
        <v>46153</v>
      </c>
      <c r="B129" s="5"/>
      <c r="F129" s="7" t="str">
        <f>IFERROR(VLOOKUP(G129, data!A:B, 2, FALSE), "Tienda")</f>
        <v>SC GALERIAS DEL VALLE</v>
      </c>
      <c r="G129" s="24">
        <v>4026</v>
      </c>
      <c r="H129" s="2">
        <v>604</v>
      </c>
      <c r="I129" s="3" t="s">
        <v>53</v>
      </c>
      <c r="J129" s="4">
        <v>8</v>
      </c>
      <c r="K129" s="8">
        <f>IFERROR(VLOOKUP(I129, data!E:F, 2, FALSE), "Precio Unidad")</f>
        <v>182</v>
      </c>
      <c r="L129" s="9">
        <f t="shared" si="2"/>
        <v>1456</v>
      </c>
    </row>
    <row r="130" spans="1:12" ht="15" customHeight="1" x14ac:dyDescent="0.2">
      <c r="A130" s="14">
        <v>46153</v>
      </c>
      <c r="B130" s="5"/>
      <c r="F130" s="7" t="str">
        <f>IFERROR(VLOOKUP(G130, data!A:B, 2, FALSE), "Tienda")</f>
        <v>SC GALERIAS DEL VALLE</v>
      </c>
      <c r="G130" s="24">
        <v>4026</v>
      </c>
      <c r="H130" s="2">
        <v>604</v>
      </c>
      <c r="I130" s="3" t="s">
        <v>56</v>
      </c>
      <c r="J130" s="4">
        <v>24</v>
      </c>
      <c r="K130" s="8">
        <f>IFERROR(VLOOKUP(I130, data!E:F, 2, FALSE), "Precio Unidad")</f>
        <v>265</v>
      </c>
      <c r="L130" s="9">
        <f t="shared" si="2"/>
        <v>6360</v>
      </c>
    </row>
    <row r="131" spans="1:12" ht="15" customHeight="1" x14ac:dyDescent="0.2">
      <c r="A131" s="14">
        <v>46153</v>
      </c>
      <c r="B131" s="5"/>
      <c r="F131" s="7" t="str">
        <f>IFERROR(VLOOKUP(G131, data!A:B, 2, FALSE), "Tienda")</f>
        <v>SC PLAYAS DE TIJUANA</v>
      </c>
      <c r="G131" s="24">
        <v>1613</v>
      </c>
      <c r="H131" s="2">
        <v>605</v>
      </c>
      <c r="I131" s="3" t="s">
        <v>10</v>
      </c>
      <c r="J131" s="4">
        <v>8</v>
      </c>
      <c r="K131" s="8">
        <f>IFERROR(VLOOKUP(I131, data!E:F, 2, FALSE), "Precio Unidad")</f>
        <v>151</v>
      </c>
      <c r="L131" s="9">
        <f t="shared" si="2"/>
        <v>1208</v>
      </c>
    </row>
    <row r="132" spans="1:12" ht="15" customHeight="1" x14ac:dyDescent="0.2">
      <c r="A132" s="14">
        <v>46153</v>
      </c>
      <c r="B132" s="5"/>
      <c r="F132" s="7" t="str">
        <f>IFERROR(VLOOKUP(G132, data!A:B, 2, FALSE), "Tienda")</f>
        <v>SC PLAYAS DE TIJUANA</v>
      </c>
      <c r="G132" s="24">
        <v>1613</v>
      </c>
      <c r="H132" s="2">
        <v>605</v>
      </c>
      <c r="I132" s="3" t="s">
        <v>12</v>
      </c>
      <c r="J132" s="4">
        <v>10</v>
      </c>
      <c r="K132" s="8">
        <f>IFERROR(VLOOKUP(I132, data!E:F, 2, FALSE), "Precio Unidad")</f>
        <v>95</v>
      </c>
      <c r="L132" s="9">
        <f t="shared" si="2"/>
        <v>950</v>
      </c>
    </row>
    <row r="133" spans="1:12" ht="15" customHeight="1" x14ac:dyDescent="0.2">
      <c r="A133" s="14">
        <v>46153</v>
      </c>
      <c r="B133" s="5"/>
      <c r="F133" s="7" t="str">
        <f>IFERROR(VLOOKUP(G133, data!A:B, 2, FALSE), "Tienda")</f>
        <v>SC PLAYAS DE TIJUANA</v>
      </c>
      <c r="G133" s="24">
        <v>1613</v>
      </c>
      <c r="H133" s="2">
        <v>605</v>
      </c>
      <c r="I133" s="3" t="s">
        <v>13</v>
      </c>
      <c r="J133" s="4">
        <v>8</v>
      </c>
      <c r="K133" s="8">
        <f>IFERROR(VLOOKUP(I133, data!E:F, 2, FALSE), "Precio Unidad")</f>
        <v>63</v>
      </c>
      <c r="L133" s="9">
        <f t="shared" si="2"/>
        <v>504</v>
      </c>
    </row>
    <row r="134" spans="1:12" ht="15" customHeight="1" x14ac:dyDescent="0.2">
      <c r="A134" s="14">
        <v>46153</v>
      </c>
      <c r="B134" s="5"/>
      <c r="F134" s="7" t="str">
        <f>IFERROR(VLOOKUP(G134, data!A:B, 2, FALSE), "Tienda")</f>
        <v>SC PACIFICO</v>
      </c>
      <c r="G134" s="24">
        <v>1616</v>
      </c>
      <c r="H134" s="2">
        <v>606</v>
      </c>
      <c r="I134" s="3" t="s">
        <v>10</v>
      </c>
      <c r="J134" s="4">
        <v>8</v>
      </c>
      <c r="K134" s="8">
        <f>IFERROR(VLOOKUP(I134, data!E:F, 2, FALSE), "Precio Unidad")</f>
        <v>151</v>
      </c>
      <c r="L134" s="9">
        <f t="shared" si="2"/>
        <v>1208</v>
      </c>
    </row>
    <row r="135" spans="1:12" ht="15" customHeight="1" x14ac:dyDescent="0.2">
      <c r="A135" s="14">
        <v>46153</v>
      </c>
      <c r="B135" s="5"/>
      <c r="F135" s="7" t="str">
        <f>IFERROR(VLOOKUP(G135, data!A:B, 2, FALSE), "Tienda")</f>
        <v>SC PACIFICO</v>
      </c>
      <c r="G135" s="24">
        <v>1616</v>
      </c>
      <c r="H135" s="2">
        <v>606</v>
      </c>
      <c r="I135" s="3" t="s">
        <v>12</v>
      </c>
      <c r="J135" s="4">
        <v>10</v>
      </c>
      <c r="K135" s="8">
        <f>IFERROR(VLOOKUP(I135, data!E:F, 2, FALSE), "Precio Unidad")</f>
        <v>95</v>
      </c>
      <c r="L135" s="9">
        <f t="shared" si="2"/>
        <v>950</v>
      </c>
    </row>
    <row r="136" spans="1:12" ht="15" customHeight="1" x14ac:dyDescent="0.2">
      <c r="A136" s="14">
        <v>46153</v>
      </c>
      <c r="B136" s="5"/>
      <c r="F136" s="7" t="str">
        <f>IFERROR(VLOOKUP(G136, data!A:B, 2, FALSE), "Tienda")</f>
        <v>SC PACIFICO</v>
      </c>
      <c r="G136" s="24">
        <v>1616</v>
      </c>
      <c r="H136" s="2">
        <v>606</v>
      </c>
      <c r="I136" s="3" t="s">
        <v>13</v>
      </c>
      <c r="J136" s="4">
        <v>8</v>
      </c>
      <c r="K136" s="8">
        <f>IFERROR(VLOOKUP(I136, data!E:F, 2, FALSE), "Precio Unidad")</f>
        <v>63</v>
      </c>
      <c r="L136" s="9">
        <f t="shared" si="2"/>
        <v>504</v>
      </c>
    </row>
    <row r="137" spans="1:12" ht="15" customHeight="1" x14ac:dyDescent="0.2">
      <c r="A137" s="14">
        <v>46153</v>
      </c>
      <c r="B137" s="5"/>
      <c r="F137" s="7" t="str">
        <f>IFERROR(VLOOKUP(G137, data!A:B, 2, FALSE), "Tienda")</f>
        <v>SC LOMAS DE SANTA FE</v>
      </c>
      <c r="G137" s="24">
        <v>190</v>
      </c>
      <c r="H137" s="2">
        <v>607</v>
      </c>
      <c r="I137" s="3" t="s">
        <v>10</v>
      </c>
      <c r="J137" s="4">
        <v>16</v>
      </c>
      <c r="K137" s="8">
        <f>IFERROR(VLOOKUP(I137, data!E:F, 2, FALSE), "Precio Unidad")</f>
        <v>151</v>
      </c>
      <c r="L137" s="9">
        <f t="shared" si="2"/>
        <v>2416</v>
      </c>
    </row>
    <row r="138" spans="1:12" ht="15" customHeight="1" x14ac:dyDescent="0.2">
      <c r="A138" s="14">
        <v>46153</v>
      </c>
      <c r="B138" s="5"/>
      <c r="F138" s="7" t="str">
        <f>IFERROR(VLOOKUP(G138, data!A:B, 2, FALSE), "Tienda")</f>
        <v>SC LOMAS DE SANTA FE</v>
      </c>
      <c r="G138" s="24">
        <v>190</v>
      </c>
      <c r="H138" s="2">
        <v>607</v>
      </c>
      <c r="I138" s="3" t="s">
        <v>11</v>
      </c>
      <c r="J138" s="4">
        <v>8</v>
      </c>
      <c r="K138" s="8">
        <f>IFERROR(VLOOKUP(I138, data!E:F, 2, FALSE), "Precio Unidad")</f>
        <v>177</v>
      </c>
      <c r="L138" s="9">
        <f t="shared" si="2"/>
        <v>1416</v>
      </c>
    </row>
    <row r="139" spans="1:12" ht="15" customHeight="1" x14ac:dyDescent="0.2">
      <c r="A139" s="14">
        <v>46153</v>
      </c>
      <c r="B139" s="5"/>
      <c r="F139" s="7" t="str">
        <f>IFERROR(VLOOKUP(G139, data!A:B, 2, FALSE), "Tienda")</f>
        <v>SC LOMAS DE SANTA FE</v>
      </c>
      <c r="G139" s="24">
        <v>190</v>
      </c>
      <c r="H139" s="2">
        <v>607</v>
      </c>
      <c r="I139" s="3" t="s">
        <v>12</v>
      </c>
      <c r="J139" s="4">
        <v>10</v>
      </c>
      <c r="K139" s="8">
        <f>IFERROR(VLOOKUP(I139, data!E:F, 2, FALSE), "Precio Unidad")</f>
        <v>95</v>
      </c>
      <c r="L139" s="9">
        <f t="shared" si="2"/>
        <v>950</v>
      </c>
    </row>
    <row r="140" spans="1:12" ht="15" customHeight="1" x14ac:dyDescent="0.2">
      <c r="A140" s="14">
        <v>46153</v>
      </c>
      <c r="B140" s="5"/>
      <c r="F140" s="7" t="str">
        <f>IFERROR(VLOOKUP(G140, data!A:B, 2, FALSE), "Tienda")</f>
        <v>SC ROSARITO</v>
      </c>
      <c r="G140" s="24">
        <v>4187</v>
      </c>
      <c r="H140" s="2">
        <v>608</v>
      </c>
      <c r="I140" s="3" t="s">
        <v>10</v>
      </c>
      <c r="J140" s="4">
        <v>8</v>
      </c>
      <c r="K140" s="8">
        <f>IFERROR(VLOOKUP(I140, data!E:F, 2, FALSE), "Precio Unidad")</f>
        <v>151</v>
      </c>
      <c r="L140" s="9">
        <f t="shared" si="2"/>
        <v>1208</v>
      </c>
    </row>
    <row r="141" spans="1:12" ht="15" customHeight="1" x14ac:dyDescent="0.2">
      <c r="A141" s="14">
        <v>46153</v>
      </c>
      <c r="B141" s="5"/>
      <c r="F141" s="7" t="str">
        <f>IFERROR(VLOOKUP(G141, data!A:B, 2, FALSE), "Tienda")</f>
        <v>SC ROSARITO</v>
      </c>
      <c r="G141" s="24">
        <v>4187</v>
      </c>
      <c r="H141" s="2">
        <v>608</v>
      </c>
      <c r="I141" s="3" t="s">
        <v>12</v>
      </c>
      <c r="J141" s="4">
        <v>10</v>
      </c>
      <c r="K141" s="8">
        <f>IFERROR(VLOOKUP(I141, data!E:F, 2, FALSE), "Precio Unidad")</f>
        <v>95</v>
      </c>
      <c r="L141" s="9">
        <f t="shared" si="2"/>
        <v>950</v>
      </c>
    </row>
    <row r="142" spans="1:12" ht="15" customHeight="1" x14ac:dyDescent="0.2">
      <c r="A142" s="14">
        <v>46153</v>
      </c>
      <c r="B142" s="5"/>
      <c r="F142" s="7" t="str">
        <f>IFERROR(VLOOKUP(G142, data!A:B, 2, FALSE), "Tienda")</f>
        <v>SC ROSARITO</v>
      </c>
      <c r="G142" s="24">
        <v>4187</v>
      </c>
      <c r="H142" s="2">
        <v>608</v>
      </c>
      <c r="I142" s="3" t="s">
        <v>13</v>
      </c>
      <c r="J142" s="4">
        <v>8</v>
      </c>
      <c r="K142" s="8">
        <f>IFERROR(VLOOKUP(I142, data!E:F, 2, FALSE), "Precio Unidad")</f>
        <v>63</v>
      </c>
      <c r="L142" s="9">
        <f t="shared" si="2"/>
        <v>504</v>
      </c>
    </row>
    <row r="143" spans="1:12" ht="15" customHeight="1" x14ac:dyDescent="0.2">
      <c r="A143" s="14">
        <v>46154</v>
      </c>
      <c r="B143" s="5"/>
      <c r="F143" s="7" t="str">
        <f>IFERROR(VLOOKUP(G143, data!A:B, 2, FALSE), "Tienda")</f>
        <v>SC ENSENADA CENTRO</v>
      </c>
      <c r="G143" s="24">
        <v>2947</v>
      </c>
      <c r="H143" s="2">
        <v>609</v>
      </c>
      <c r="I143" s="3" t="s">
        <v>10</v>
      </c>
      <c r="J143" s="4">
        <v>8</v>
      </c>
      <c r="K143" s="8">
        <f>IFERROR(VLOOKUP(I143, data!E:F, 2, FALSE), "Precio Unidad")</f>
        <v>151</v>
      </c>
      <c r="L143" s="9">
        <f t="shared" si="2"/>
        <v>1208</v>
      </c>
    </row>
    <row r="144" spans="1:12" ht="15" customHeight="1" x14ac:dyDescent="0.2">
      <c r="A144" s="14">
        <v>46154</v>
      </c>
      <c r="B144" s="5"/>
      <c r="F144" s="7" t="str">
        <f>IFERROR(VLOOKUP(G144, data!A:B, 2, FALSE), "Tienda")</f>
        <v>SC ENSENADA CENTRO</v>
      </c>
      <c r="G144" s="24">
        <v>2947</v>
      </c>
      <c r="H144" s="2">
        <v>609</v>
      </c>
      <c r="I144" s="3" t="s">
        <v>12</v>
      </c>
      <c r="J144" s="4">
        <v>20</v>
      </c>
      <c r="K144" s="8">
        <f>IFERROR(VLOOKUP(I144, data!E:F, 2, FALSE), "Precio Unidad")</f>
        <v>95</v>
      </c>
      <c r="L144" s="9">
        <f t="shared" si="2"/>
        <v>1900</v>
      </c>
    </row>
    <row r="145" spans="1:12" ht="15" customHeight="1" x14ac:dyDescent="0.2">
      <c r="A145" s="14">
        <v>46154</v>
      </c>
      <c r="B145" s="5"/>
      <c r="F145" s="7" t="str">
        <f>IFERROR(VLOOKUP(G145, data!A:B, 2, FALSE), "Tienda")</f>
        <v>SC ENSENADA CENTRO</v>
      </c>
      <c r="G145" s="24">
        <v>2947</v>
      </c>
      <c r="H145" s="2">
        <v>609</v>
      </c>
      <c r="I145" s="3" t="s">
        <v>13</v>
      </c>
      <c r="J145" s="4">
        <v>8</v>
      </c>
      <c r="K145" s="8">
        <f>IFERROR(VLOOKUP(I145, data!E:F, 2, FALSE), "Precio Unidad")</f>
        <v>63</v>
      </c>
      <c r="L145" s="9">
        <f t="shared" si="2"/>
        <v>504</v>
      </c>
    </row>
    <row r="146" spans="1:12" ht="15" customHeight="1" x14ac:dyDescent="0.2">
      <c r="A146" s="14">
        <v>46154</v>
      </c>
      <c r="B146" s="5"/>
      <c r="F146" s="7" t="str">
        <f>IFERROR(VLOOKUP(G146, data!A:B, 2, FALSE), "Tienda")</f>
        <v>SC ENSENADA</v>
      </c>
      <c r="G146" s="24">
        <v>3015</v>
      </c>
      <c r="H146" s="2">
        <v>610</v>
      </c>
      <c r="I146" s="3" t="s">
        <v>10</v>
      </c>
      <c r="J146" s="4">
        <v>8</v>
      </c>
      <c r="K146" s="8">
        <f>IFERROR(VLOOKUP(I146, data!E:F, 2, FALSE), "Precio Unidad")</f>
        <v>151</v>
      </c>
      <c r="L146" s="9">
        <f t="shared" si="2"/>
        <v>1208</v>
      </c>
    </row>
    <row r="147" spans="1:12" ht="15" customHeight="1" x14ac:dyDescent="0.2">
      <c r="A147" s="14">
        <v>46154</v>
      </c>
      <c r="B147" s="5"/>
      <c r="F147" s="7" t="str">
        <f>IFERROR(VLOOKUP(G147, data!A:B, 2, FALSE), "Tienda")</f>
        <v>SC ENSENADA</v>
      </c>
      <c r="G147" s="24">
        <v>3015</v>
      </c>
      <c r="H147" s="2">
        <v>610</v>
      </c>
      <c r="I147" s="3" t="s">
        <v>12</v>
      </c>
      <c r="J147" s="4">
        <v>20</v>
      </c>
      <c r="K147" s="8">
        <f>IFERROR(VLOOKUP(I147, data!E:F, 2, FALSE), "Precio Unidad")</f>
        <v>95</v>
      </c>
      <c r="L147" s="9">
        <f t="shared" si="2"/>
        <v>1900</v>
      </c>
    </row>
    <row r="148" spans="1:12" ht="15" customHeight="1" x14ac:dyDescent="0.2">
      <c r="A148" s="14">
        <v>46154</v>
      </c>
      <c r="B148" s="5"/>
      <c r="F148" s="7" t="str">
        <f>IFERROR(VLOOKUP(G148, data!A:B, 2, FALSE), "Tienda")</f>
        <v>SC ENSENADA</v>
      </c>
      <c r="G148" s="24">
        <v>3015</v>
      </c>
      <c r="H148" s="2">
        <v>610</v>
      </c>
      <c r="I148" s="3" t="s">
        <v>13</v>
      </c>
      <c r="J148" s="4">
        <v>8</v>
      </c>
      <c r="K148" s="8">
        <f>IFERROR(VLOOKUP(I148, data!E:F, 2, FALSE), "Precio Unidad")</f>
        <v>63</v>
      </c>
      <c r="L148" s="9">
        <f t="shared" si="2"/>
        <v>504</v>
      </c>
    </row>
    <row r="149" spans="1:12" ht="15" customHeight="1" x14ac:dyDescent="0.2">
      <c r="A149" s="14">
        <v>46154</v>
      </c>
      <c r="B149" s="5"/>
      <c r="F149" s="7" t="str">
        <f>IFERROR(VLOOKUP(G149, data!A:B, 2, FALSE), "Tienda")</f>
        <v>SC DIAZ ORDAZ</v>
      </c>
      <c r="G149" s="24">
        <v>3664</v>
      </c>
      <c r="H149" s="2">
        <v>611</v>
      </c>
      <c r="I149" s="3" t="s">
        <v>10</v>
      </c>
      <c r="J149" s="4">
        <v>8</v>
      </c>
      <c r="K149" s="8">
        <f>IFERROR(VLOOKUP(I149, data!E:F, 2, FALSE), "Precio Unidad")</f>
        <v>151</v>
      </c>
      <c r="L149" s="9">
        <f t="shared" si="2"/>
        <v>1208</v>
      </c>
    </row>
    <row r="150" spans="1:12" ht="15" customHeight="1" x14ac:dyDescent="0.2">
      <c r="A150" s="14">
        <v>46154</v>
      </c>
      <c r="B150" s="5"/>
      <c r="F150" s="7" t="str">
        <f>IFERROR(VLOOKUP(G150, data!A:B, 2, FALSE), "Tienda")</f>
        <v>SC DIAZ ORDAZ</v>
      </c>
      <c r="G150" s="24">
        <v>3664</v>
      </c>
      <c r="H150" s="2">
        <v>611</v>
      </c>
      <c r="I150" s="3" t="s">
        <v>12</v>
      </c>
      <c r="J150" s="4">
        <v>20</v>
      </c>
      <c r="K150" s="8">
        <f>IFERROR(VLOOKUP(I150, data!E:F, 2, FALSE), "Precio Unidad")</f>
        <v>95</v>
      </c>
      <c r="L150" s="9">
        <f t="shared" si="2"/>
        <v>1900</v>
      </c>
    </row>
    <row r="151" spans="1:12" ht="15" customHeight="1" x14ac:dyDescent="0.2">
      <c r="A151" s="14">
        <v>46154</v>
      </c>
      <c r="B151" s="5"/>
      <c r="F151" s="7" t="str">
        <f>IFERROR(VLOOKUP(G151, data!A:B, 2, FALSE), "Tienda")</f>
        <v>SC DIAZ ORDAZ</v>
      </c>
      <c r="G151" s="24">
        <v>3664</v>
      </c>
      <c r="H151" s="2">
        <v>611</v>
      </c>
      <c r="I151" s="3" t="s">
        <v>13</v>
      </c>
      <c r="J151" s="4">
        <v>8</v>
      </c>
      <c r="K151" s="8">
        <f>IFERROR(VLOOKUP(I151, data!E:F, 2, FALSE), "Precio Unidad")</f>
        <v>63</v>
      </c>
      <c r="L151" s="9">
        <f t="shared" si="2"/>
        <v>504</v>
      </c>
    </row>
    <row r="152" spans="1:12" ht="15" customHeight="1" x14ac:dyDescent="0.2">
      <c r="A152" s="14">
        <v>46154</v>
      </c>
      <c r="B152" s="5"/>
      <c r="F152" s="7" t="str">
        <f>IFERROR(VLOOKUP(G152, data!A:B, 2, FALSE), "Tienda")</f>
        <v>SC TIJUANA 2000</v>
      </c>
      <c r="G152" s="24">
        <v>4155</v>
      </c>
      <c r="H152" s="2">
        <v>612</v>
      </c>
      <c r="I152" s="3" t="s">
        <v>10</v>
      </c>
      <c r="J152" s="4">
        <v>8</v>
      </c>
      <c r="K152" s="8">
        <f>IFERROR(VLOOKUP(I152, data!E:F, 2, FALSE), "Precio Unidad")</f>
        <v>151</v>
      </c>
      <c r="L152" s="9">
        <f t="shared" si="2"/>
        <v>1208</v>
      </c>
    </row>
    <row r="153" spans="1:12" ht="15" customHeight="1" x14ac:dyDescent="0.2">
      <c r="A153" s="14">
        <v>46154</v>
      </c>
      <c r="B153" s="5"/>
      <c r="F153" s="7" t="str">
        <f>IFERROR(VLOOKUP(G153, data!A:B, 2, FALSE), "Tienda")</f>
        <v>SC TIJUANA 2000</v>
      </c>
      <c r="G153" s="24">
        <v>4155</v>
      </c>
      <c r="H153" s="2">
        <v>612</v>
      </c>
      <c r="I153" s="3" t="s">
        <v>12</v>
      </c>
      <c r="J153" s="4">
        <v>20</v>
      </c>
      <c r="K153" s="8">
        <f>IFERROR(VLOOKUP(I153, data!E:F, 2, FALSE), "Precio Unidad")</f>
        <v>95</v>
      </c>
      <c r="L153" s="9">
        <f t="shared" si="2"/>
        <v>1900</v>
      </c>
    </row>
    <row r="154" spans="1:12" ht="15" customHeight="1" x14ac:dyDescent="0.2">
      <c r="A154" s="14">
        <v>46154</v>
      </c>
      <c r="B154" s="5"/>
      <c r="F154" s="7" t="str">
        <f>IFERROR(VLOOKUP(G154, data!A:B, 2, FALSE), "Tienda")</f>
        <v>SC TIJUANA 2000</v>
      </c>
      <c r="G154" s="24">
        <v>4155</v>
      </c>
      <c r="H154" s="2">
        <v>612</v>
      </c>
      <c r="I154" s="3" t="s">
        <v>13</v>
      </c>
      <c r="J154" s="4">
        <v>8</v>
      </c>
      <c r="K154" s="8">
        <f>IFERROR(VLOOKUP(I154, data!E:F, 2, FALSE), "Precio Unidad")</f>
        <v>63</v>
      </c>
      <c r="L154" s="9">
        <f t="shared" si="2"/>
        <v>504</v>
      </c>
    </row>
    <row r="155" spans="1:12" ht="15" customHeight="1" x14ac:dyDescent="0.2">
      <c r="A155" s="14">
        <v>46154</v>
      </c>
      <c r="B155" s="5"/>
      <c r="F155" s="7" t="str">
        <f>IFERROR(VLOOKUP(G155, data!A:B, 2, FALSE), "Tienda")</f>
        <v>SC MACROPLAZA INSURGENTES</v>
      </c>
      <c r="G155" s="24">
        <v>2023</v>
      </c>
      <c r="H155" s="2">
        <v>613</v>
      </c>
      <c r="I155" s="3" t="s">
        <v>10</v>
      </c>
      <c r="J155" s="4">
        <v>8</v>
      </c>
      <c r="K155" s="8">
        <f>IFERROR(VLOOKUP(I155, data!E:F, 2, FALSE), "Precio Unidad")</f>
        <v>151</v>
      </c>
      <c r="L155" s="9">
        <f t="shared" si="2"/>
        <v>1208</v>
      </c>
    </row>
    <row r="156" spans="1:12" ht="15" customHeight="1" x14ac:dyDescent="0.2">
      <c r="A156" s="14">
        <v>46154</v>
      </c>
      <c r="B156" s="5"/>
      <c r="F156" s="7" t="str">
        <f>IFERROR(VLOOKUP(G156, data!A:B, 2, FALSE), "Tienda")</f>
        <v>SC MACROPLAZA INSURGENTES</v>
      </c>
      <c r="G156" s="24">
        <v>2023</v>
      </c>
      <c r="H156" s="2">
        <v>613</v>
      </c>
      <c r="I156" s="3" t="s">
        <v>12</v>
      </c>
      <c r="J156" s="4">
        <v>13</v>
      </c>
      <c r="K156" s="8">
        <f>IFERROR(VLOOKUP(I156, data!E:F, 2, FALSE), "Precio Unidad")</f>
        <v>95</v>
      </c>
      <c r="L156" s="9">
        <f t="shared" ref="L156:L217" si="3">K156*J156</f>
        <v>1235</v>
      </c>
    </row>
    <row r="157" spans="1:12" ht="15" customHeight="1" x14ac:dyDescent="0.2">
      <c r="A157" s="14">
        <v>46154</v>
      </c>
      <c r="B157" s="5"/>
      <c r="F157" s="7" t="str">
        <f>IFERROR(VLOOKUP(G157, data!A:B, 2, FALSE), "Tienda")</f>
        <v>SC MACROPLAZA INSURGENTES</v>
      </c>
      <c r="G157" s="24">
        <v>2023</v>
      </c>
      <c r="H157" s="2">
        <v>613</v>
      </c>
      <c r="I157" s="3" t="s">
        <v>13</v>
      </c>
      <c r="J157" s="4">
        <v>8</v>
      </c>
      <c r="K157" s="8">
        <f>IFERROR(VLOOKUP(I157, data!E:F, 2, FALSE), "Precio Unidad")</f>
        <v>63</v>
      </c>
      <c r="L157" s="9">
        <f t="shared" si="3"/>
        <v>504</v>
      </c>
    </row>
    <row r="158" spans="1:12" ht="15" customHeight="1" x14ac:dyDescent="0.2">
      <c r="A158" s="14">
        <v>46154</v>
      </c>
      <c r="B158" s="5"/>
      <c r="F158" s="7" t="str">
        <f>IFERROR(VLOOKUP(G158, data!A:B, 2, FALSE), "Tienda")</f>
        <v>SC TIJUANA HIPODROMO</v>
      </c>
      <c r="G158" s="24">
        <v>4011</v>
      </c>
      <c r="H158" s="2">
        <v>614</v>
      </c>
      <c r="I158" s="3" t="s">
        <v>10</v>
      </c>
      <c r="J158" s="4">
        <v>8</v>
      </c>
      <c r="K158" s="8">
        <f>IFERROR(VLOOKUP(I158, data!E:F, 2, FALSE), "Precio Unidad")</f>
        <v>151</v>
      </c>
      <c r="L158" s="9">
        <f t="shared" si="3"/>
        <v>1208</v>
      </c>
    </row>
    <row r="159" spans="1:12" ht="15" customHeight="1" x14ac:dyDescent="0.2">
      <c r="A159" s="14">
        <v>46154</v>
      </c>
      <c r="B159" s="5"/>
      <c r="F159" s="7" t="str">
        <f>IFERROR(VLOOKUP(G159, data!A:B, 2, FALSE), "Tienda")</f>
        <v>SC TIJUANA HIPODROMO</v>
      </c>
      <c r="G159" s="24">
        <v>4011</v>
      </c>
      <c r="H159" s="2">
        <v>614</v>
      </c>
      <c r="I159" s="3" t="s">
        <v>11</v>
      </c>
      <c r="J159" s="4">
        <v>8</v>
      </c>
      <c r="K159" s="8">
        <f>IFERROR(VLOOKUP(I159, data!E:F, 2, FALSE), "Precio Unidad")</f>
        <v>177</v>
      </c>
      <c r="L159" s="9">
        <f t="shared" si="3"/>
        <v>1416</v>
      </c>
    </row>
    <row r="160" spans="1:12" ht="15" customHeight="1" x14ac:dyDescent="0.2">
      <c r="A160" s="14">
        <v>46154</v>
      </c>
      <c r="B160" s="5"/>
      <c r="F160" s="7" t="str">
        <f>IFERROR(VLOOKUP(G160, data!A:B, 2, FALSE), "Tienda")</f>
        <v>SC TIJUANA HIPODROMO</v>
      </c>
      <c r="G160" s="24">
        <v>4011</v>
      </c>
      <c r="H160" s="2">
        <v>614</v>
      </c>
      <c r="I160" s="3" t="s">
        <v>12</v>
      </c>
      <c r="J160" s="4">
        <v>10</v>
      </c>
      <c r="K160" s="8">
        <f>IFERROR(VLOOKUP(I160, data!E:F, 2, FALSE), "Precio Unidad")</f>
        <v>95</v>
      </c>
      <c r="L160" s="9">
        <f t="shared" si="3"/>
        <v>950</v>
      </c>
    </row>
    <row r="161" spans="1:12" ht="15" customHeight="1" x14ac:dyDescent="0.2">
      <c r="A161" s="14">
        <v>46154</v>
      </c>
      <c r="B161" s="5"/>
      <c r="F161" s="7" t="str">
        <f>IFERROR(VLOOKUP(G161, data!A:B, 2, FALSE), "Tienda")</f>
        <v>SC TIJUANA HIPODROMO</v>
      </c>
      <c r="G161" s="24">
        <v>4011</v>
      </c>
      <c r="H161" s="2">
        <v>614</v>
      </c>
      <c r="I161" s="3" t="s">
        <v>13</v>
      </c>
      <c r="J161" s="4">
        <v>8</v>
      </c>
      <c r="K161" s="8">
        <f>IFERROR(VLOOKUP(I161, data!E:F, 2, FALSE), "Precio Unidad")</f>
        <v>63</v>
      </c>
      <c r="L161" s="9">
        <f t="shared" si="3"/>
        <v>504</v>
      </c>
    </row>
    <row r="162" spans="1:12" ht="15" customHeight="1" x14ac:dyDescent="0.2">
      <c r="A162" s="14">
        <v>46156</v>
      </c>
      <c r="B162" s="5"/>
      <c r="F162" s="7" t="str">
        <f>IFERROR(VLOOKUP(G162, data!A:B, 2, FALSE), "Tienda")</f>
        <v>SC TECATE GARITA</v>
      </c>
      <c r="G162" s="1">
        <v>5295</v>
      </c>
      <c r="H162" s="2">
        <v>615</v>
      </c>
      <c r="I162" s="3" t="s">
        <v>10</v>
      </c>
      <c r="J162" s="4">
        <v>16</v>
      </c>
      <c r="K162" s="8">
        <f>IFERROR(VLOOKUP(I162, data!E:F, 2, FALSE), "Precio Unidad")</f>
        <v>151</v>
      </c>
      <c r="L162" s="9">
        <f t="shared" si="3"/>
        <v>2416</v>
      </c>
    </row>
    <row r="163" spans="1:12" ht="15" customHeight="1" x14ac:dyDescent="0.2">
      <c r="A163" s="14">
        <v>46156</v>
      </c>
      <c r="B163" s="5"/>
      <c r="F163" s="7" t="str">
        <f>IFERROR(VLOOKUP(G163, data!A:B, 2, FALSE), "Tienda")</f>
        <v>SC TECATE GARITA</v>
      </c>
      <c r="G163" s="1">
        <v>5295</v>
      </c>
      <c r="H163" s="2">
        <v>615</v>
      </c>
      <c r="I163" s="3" t="s">
        <v>12</v>
      </c>
      <c r="J163" s="4">
        <v>20</v>
      </c>
      <c r="K163" s="8">
        <f>IFERROR(VLOOKUP(I163, data!E:F, 2, FALSE), "Precio Unidad")</f>
        <v>95</v>
      </c>
      <c r="L163" s="9">
        <f t="shared" si="3"/>
        <v>1900</v>
      </c>
    </row>
    <row r="164" spans="1:12" ht="15" customHeight="1" x14ac:dyDescent="0.2">
      <c r="A164" s="14">
        <v>46156</v>
      </c>
      <c r="B164" s="5"/>
      <c r="F164" s="7" t="str">
        <f>IFERROR(VLOOKUP(G164, data!A:B, 2, FALSE), "Tienda")</f>
        <v>SC TECATE GARITA</v>
      </c>
      <c r="G164" s="1">
        <v>5295</v>
      </c>
      <c r="H164" s="2">
        <v>615</v>
      </c>
      <c r="I164" s="3" t="s">
        <v>13</v>
      </c>
      <c r="J164" s="4">
        <v>24</v>
      </c>
      <c r="K164" s="8">
        <f>IFERROR(VLOOKUP(I164, data!E:F, 2, FALSE), "Precio Unidad")</f>
        <v>63</v>
      </c>
      <c r="L164" s="9">
        <f t="shared" si="3"/>
        <v>1512</v>
      </c>
    </row>
    <row r="165" spans="1:12" ht="15" customHeight="1" x14ac:dyDescent="0.2">
      <c r="A165" s="14">
        <v>46156</v>
      </c>
      <c r="B165" s="5"/>
      <c r="F165" s="7" t="str">
        <f>IFERROR(VLOOKUP(G165, data!A:B, 2, FALSE), "Tienda")</f>
        <v>SC NUEVO MEXICALI</v>
      </c>
      <c r="G165" s="1">
        <v>5041</v>
      </c>
      <c r="H165" s="2">
        <v>616</v>
      </c>
      <c r="I165" s="3" t="s">
        <v>10</v>
      </c>
      <c r="J165" s="4">
        <v>24</v>
      </c>
      <c r="K165" s="8">
        <f>IFERROR(VLOOKUP(I165, data!E:F, 2, FALSE), "Precio Unidad")</f>
        <v>151</v>
      </c>
      <c r="L165" s="9">
        <f t="shared" si="3"/>
        <v>3624</v>
      </c>
    </row>
    <row r="166" spans="1:12" ht="15" customHeight="1" x14ac:dyDescent="0.2">
      <c r="A166" s="14">
        <v>46156</v>
      </c>
      <c r="B166" s="5"/>
      <c r="F166" s="7" t="str">
        <f>IFERROR(VLOOKUP(G166, data!A:B, 2, FALSE), "Tienda")</f>
        <v>SC NUEVO MEXICALI</v>
      </c>
      <c r="G166" s="1">
        <v>5041</v>
      </c>
      <c r="H166" s="2">
        <v>616</v>
      </c>
      <c r="I166" s="3" t="s">
        <v>11</v>
      </c>
      <c r="J166" s="4">
        <v>24</v>
      </c>
      <c r="K166" s="8">
        <f>IFERROR(VLOOKUP(I166, data!E:F, 2, FALSE), "Precio Unidad")</f>
        <v>177</v>
      </c>
      <c r="L166" s="9">
        <f t="shared" si="3"/>
        <v>4248</v>
      </c>
    </row>
    <row r="167" spans="1:12" ht="15" customHeight="1" x14ac:dyDescent="0.2">
      <c r="A167" s="14">
        <v>46156</v>
      </c>
      <c r="B167" s="5"/>
      <c r="F167" s="7" t="str">
        <f>IFERROR(VLOOKUP(G167, data!A:B, 2, FALSE), "Tienda")</f>
        <v>SC NUEVO MEXICALI</v>
      </c>
      <c r="G167" s="1">
        <v>5041</v>
      </c>
      <c r="H167" s="2">
        <v>616</v>
      </c>
      <c r="I167" s="3" t="s">
        <v>12</v>
      </c>
      <c r="J167" s="4">
        <v>50</v>
      </c>
      <c r="K167" s="8">
        <f>IFERROR(VLOOKUP(I167, data!E:F, 2, FALSE), "Precio Unidad")</f>
        <v>95</v>
      </c>
      <c r="L167" s="9">
        <f t="shared" si="3"/>
        <v>4750</v>
      </c>
    </row>
    <row r="168" spans="1:12" ht="15" customHeight="1" x14ac:dyDescent="0.2">
      <c r="A168" s="14">
        <v>46156</v>
      </c>
      <c r="B168" s="5"/>
      <c r="F168" s="7" t="str">
        <f>IFERROR(VLOOKUP(G168, data!A:B, 2, FALSE), "Tienda")</f>
        <v>SC NUEVO MEXICALI</v>
      </c>
      <c r="G168" s="1">
        <v>5041</v>
      </c>
      <c r="H168" s="2">
        <v>616</v>
      </c>
      <c r="I168" s="3" t="s">
        <v>13</v>
      </c>
      <c r="J168" s="4">
        <v>32</v>
      </c>
      <c r="K168" s="8">
        <f>IFERROR(VLOOKUP(I168, data!E:F, 2, FALSE), "Precio Unidad")</f>
        <v>63</v>
      </c>
      <c r="L168" s="9">
        <f t="shared" si="3"/>
        <v>2016</v>
      </c>
    </row>
    <row r="169" spans="1:12" ht="15" customHeight="1" x14ac:dyDescent="0.2">
      <c r="A169" s="14">
        <v>46156</v>
      </c>
      <c r="B169" s="5"/>
      <c r="F169" s="7" t="str">
        <f>IFERROR(VLOOKUP(G169, data!A:B, 2, FALSE), "Tienda")</f>
        <v>SC GALERIAS DEL VALLE</v>
      </c>
      <c r="G169" s="1">
        <v>4026</v>
      </c>
      <c r="H169" s="2">
        <v>617</v>
      </c>
      <c r="I169" s="3" t="s">
        <v>10</v>
      </c>
      <c r="J169" s="4">
        <v>16</v>
      </c>
      <c r="K169" s="8">
        <f>IFERROR(VLOOKUP(I169, data!E:F, 2, FALSE), "Precio Unidad")</f>
        <v>151</v>
      </c>
      <c r="L169" s="9">
        <f t="shared" si="3"/>
        <v>2416</v>
      </c>
    </row>
    <row r="170" spans="1:12" ht="15" customHeight="1" x14ac:dyDescent="0.2">
      <c r="A170" s="14">
        <v>46156</v>
      </c>
      <c r="B170" s="5"/>
      <c r="F170" s="7" t="str">
        <f>IFERROR(VLOOKUP(G170, data!A:B, 2, FALSE), "Tienda")</f>
        <v>SC GALERIAS DEL VALLE</v>
      </c>
      <c r="G170" s="1">
        <v>4026</v>
      </c>
      <c r="H170" s="2">
        <v>617</v>
      </c>
      <c r="I170" s="3" t="s">
        <v>11</v>
      </c>
      <c r="J170" s="4">
        <v>8</v>
      </c>
      <c r="K170" s="8">
        <f>IFERROR(VLOOKUP(I170, data!E:F, 2, FALSE), "Precio Unidad")</f>
        <v>177</v>
      </c>
      <c r="L170" s="9">
        <f t="shared" si="3"/>
        <v>1416</v>
      </c>
    </row>
    <row r="171" spans="1:12" ht="15" customHeight="1" x14ac:dyDescent="0.2">
      <c r="A171" s="14">
        <v>46156</v>
      </c>
      <c r="B171" s="5"/>
      <c r="F171" s="7" t="str">
        <f>IFERROR(VLOOKUP(G171, data!A:B, 2, FALSE), "Tienda")</f>
        <v>SC GALERIAS DEL VALLE</v>
      </c>
      <c r="G171" s="1">
        <v>4026</v>
      </c>
      <c r="H171" s="2">
        <v>617</v>
      </c>
      <c r="I171" s="3" t="s">
        <v>12</v>
      </c>
      <c r="J171" s="4">
        <v>29</v>
      </c>
      <c r="K171" s="8">
        <f>IFERROR(VLOOKUP(I171, data!E:F, 2, FALSE), "Precio Unidad")</f>
        <v>95</v>
      </c>
      <c r="L171" s="9">
        <f t="shared" si="3"/>
        <v>2755</v>
      </c>
    </row>
    <row r="172" spans="1:12" ht="15" customHeight="1" x14ac:dyDescent="0.2">
      <c r="A172" s="14">
        <v>46156</v>
      </c>
      <c r="B172" s="5"/>
      <c r="F172" s="7" t="str">
        <f>IFERROR(VLOOKUP(G172, data!A:B, 2, FALSE), "Tienda")</f>
        <v>SC GALERIAS DEL VALLE</v>
      </c>
      <c r="G172" s="1">
        <v>4026</v>
      </c>
      <c r="H172" s="2">
        <v>617</v>
      </c>
      <c r="I172" s="3" t="s">
        <v>13</v>
      </c>
      <c r="J172" s="4">
        <v>16</v>
      </c>
      <c r="K172" s="8">
        <f>IFERROR(VLOOKUP(I172, data!E:F, 2, FALSE), "Precio Unidad")</f>
        <v>63</v>
      </c>
      <c r="L172" s="9">
        <f t="shared" si="3"/>
        <v>1008</v>
      </c>
    </row>
    <row r="173" spans="1:12" ht="15" customHeight="1" x14ac:dyDescent="0.2">
      <c r="A173" s="14">
        <v>46156</v>
      </c>
      <c r="B173" s="5"/>
      <c r="F173" s="7" t="str">
        <f>IFERROR(VLOOKUP(G173, data!A:B, 2, FALSE), "Tienda")</f>
        <v>SC MEXICALI</v>
      </c>
      <c r="G173" s="1">
        <v>2304</v>
      </c>
      <c r="H173" s="2">
        <v>618</v>
      </c>
      <c r="I173" s="3" t="s">
        <v>10</v>
      </c>
      <c r="J173" s="4">
        <v>16</v>
      </c>
      <c r="K173" s="8">
        <f>IFERROR(VLOOKUP(I173, data!E:F, 2, FALSE), "Precio Unidad")</f>
        <v>151</v>
      </c>
      <c r="L173" s="9">
        <f t="shared" si="3"/>
        <v>2416</v>
      </c>
    </row>
    <row r="174" spans="1:12" ht="15" customHeight="1" x14ac:dyDescent="0.2">
      <c r="A174" s="14">
        <v>46156</v>
      </c>
      <c r="B174" s="5"/>
      <c r="F174" s="7" t="str">
        <f>IFERROR(VLOOKUP(G174, data!A:B, 2, FALSE), "Tienda")</f>
        <v>SC MEXICALI</v>
      </c>
      <c r="G174" s="1">
        <v>2304</v>
      </c>
      <c r="H174" s="2">
        <v>618</v>
      </c>
      <c r="I174" s="3" t="s">
        <v>11</v>
      </c>
      <c r="J174" s="4">
        <v>16</v>
      </c>
      <c r="K174" s="8">
        <f>IFERROR(VLOOKUP(I174, data!E:F, 2, FALSE), "Precio Unidad")</f>
        <v>177</v>
      </c>
      <c r="L174" s="9">
        <f t="shared" si="3"/>
        <v>2832</v>
      </c>
    </row>
    <row r="175" spans="1:12" ht="15" customHeight="1" x14ac:dyDescent="0.2">
      <c r="A175" s="14">
        <v>46156</v>
      </c>
      <c r="B175" s="5"/>
      <c r="F175" s="7" t="str">
        <f>IFERROR(VLOOKUP(G175, data!A:B, 2, FALSE), "Tienda")</f>
        <v>SC MEXICALI</v>
      </c>
      <c r="G175" s="1">
        <v>2304</v>
      </c>
      <c r="H175" s="2">
        <v>618</v>
      </c>
      <c r="I175" s="3" t="s">
        <v>12</v>
      </c>
      <c r="J175" s="4">
        <v>20</v>
      </c>
      <c r="K175" s="8">
        <f>IFERROR(VLOOKUP(I175, data!E:F, 2, FALSE), "Precio Unidad")</f>
        <v>95</v>
      </c>
      <c r="L175" s="9">
        <f t="shared" si="3"/>
        <v>1900</v>
      </c>
    </row>
    <row r="176" spans="1:12" ht="15" customHeight="1" x14ac:dyDescent="0.2">
      <c r="A176" s="14">
        <v>46156</v>
      </c>
      <c r="B176" s="5"/>
      <c r="F176" s="7" t="str">
        <f>IFERROR(VLOOKUP(G176, data!A:B, 2, FALSE), "Tienda")</f>
        <v>SC MEXICALI</v>
      </c>
      <c r="G176" s="1">
        <v>2304</v>
      </c>
      <c r="H176" s="2">
        <v>618</v>
      </c>
      <c r="I176" s="3" t="s">
        <v>13</v>
      </c>
      <c r="J176" s="4">
        <v>16</v>
      </c>
      <c r="K176" s="8">
        <f>IFERROR(VLOOKUP(I176, data!E:F, 2, FALSE), "Precio Unidad")</f>
        <v>63</v>
      </c>
      <c r="L176" s="9">
        <f t="shared" si="3"/>
        <v>1008</v>
      </c>
    </row>
    <row r="177" spans="1:12" ht="15" customHeight="1" x14ac:dyDescent="0.2">
      <c r="A177" s="14">
        <v>46156</v>
      </c>
      <c r="B177" s="5"/>
      <c r="F177" s="7" t="str">
        <f>IFERROR(VLOOKUP(G177, data!A:B, 2, FALSE), "Tienda")</f>
        <v>SC MEXICALI NOVENA</v>
      </c>
      <c r="G177" s="1">
        <v>1617</v>
      </c>
      <c r="H177" s="2">
        <v>619</v>
      </c>
      <c r="I177" s="3" t="s">
        <v>10</v>
      </c>
      <c r="J177" s="4">
        <v>24</v>
      </c>
      <c r="K177" s="8">
        <f>IFERROR(VLOOKUP(I177, data!E:F, 2, FALSE), "Precio Unidad")</f>
        <v>151</v>
      </c>
      <c r="L177" s="9">
        <f t="shared" si="3"/>
        <v>3624</v>
      </c>
    </row>
    <row r="178" spans="1:12" ht="15" customHeight="1" x14ac:dyDescent="0.2">
      <c r="A178" s="14">
        <v>46156</v>
      </c>
      <c r="B178" s="5"/>
      <c r="F178" s="7" t="str">
        <f>IFERROR(VLOOKUP(G178, data!A:B, 2, FALSE), "Tienda")</f>
        <v>SC MEXICALI NOVENA</v>
      </c>
      <c r="G178" s="1">
        <v>1617</v>
      </c>
      <c r="H178" s="2">
        <v>619</v>
      </c>
      <c r="I178" s="3" t="s">
        <v>11</v>
      </c>
      <c r="J178" s="4">
        <v>24</v>
      </c>
      <c r="K178" s="8">
        <f>IFERROR(VLOOKUP(I178, data!E:F, 2, FALSE), "Precio Unidad")</f>
        <v>177</v>
      </c>
      <c r="L178" s="9">
        <f t="shared" si="3"/>
        <v>4248</v>
      </c>
    </row>
    <row r="179" spans="1:12" ht="15" customHeight="1" x14ac:dyDescent="0.2">
      <c r="A179" s="14">
        <v>46156</v>
      </c>
      <c r="B179" s="5"/>
      <c r="F179" s="7" t="str">
        <f>IFERROR(VLOOKUP(G179, data!A:B, 2, FALSE), "Tienda")</f>
        <v>SC MEXICALI NOVENA</v>
      </c>
      <c r="G179" s="1">
        <v>1617</v>
      </c>
      <c r="H179" s="2">
        <v>619</v>
      </c>
      <c r="I179" s="3" t="s">
        <v>12</v>
      </c>
      <c r="J179" s="4">
        <v>40</v>
      </c>
      <c r="K179" s="8">
        <f>IFERROR(VLOOKUP(I179, data!E:F, 2, FALSE), "Precio Unidad")</f>
        <v>95</v>
      </c>
      <c r="L179" s="9">
        <f t="shared" si="3"/>
        <v>3800</v>
      </c>
    </row>
    <row r="180" spans="1:12" ht="15" customHeight="1" x14ac:dyDescent="0.2">
      <c r="A180" s="14">
        <v>46156</v>
      </c>
      <c r="B180" s="5"/>
      <c r="F180" s="7" t="str">
        <f>IFERROR(VLOOKUP(G180, data!A:B, 2, FALSE), "Tienda")</f>
        <v>SC MEXICALI NOVENA</v>
      </c>
      <c r="G180" s="1">
        <v>1617</v>
      </c>
      <c r="H180" s="2">
        <v>619</v>
      </c>
      <c r="I180" s="3" t="s">
        <v>13</v>
      </c>
      <c r="J180" s="4">
        <v>32</v>
      </c>
      <c r="K180" s="8">
        <f>IFERROR(VLOOKUP(I180, data!E:F, 2, FALSE), "Precio Unidad")</f>
        <v>63</v>
      </c>
      <c r="L180" s="9">
        <f t="shared" si="3"/>
        <v>2016</v>
      </c>
    </row>
    <row r="181" spans="1:12" ht="15" customHeight="1" x14ac:dyDescent="0.2">
      <c r="A181" s="14">
        <v>46156</v>
      </c>
      <c r="B181" s="5"/>
      <c r="F181" s="7" t="str">
        <f>IFERROR(VLOOKUP(G181, data!A:B, 2, FALSE), "Tienda")</f>
        <v>SC PLAZA SAN PEDRO</v>
      </c>
      <c r="G181" s="1">
        <v>1140</v>
      </c>
      <c r="H181" s="2">
        <v>620</v>
      </c>
      <c r="I181" s="3" t="s">
        <v>10</v>
      </c>
      <c r="J181" s="4">
        <v>24</v>
      </c>
      <c r="K181" s="8">
        <f>IFERROR(VLOOKUP(I181, data!E:F, 2, FALSE), "Precio Unidad")</f>
        <v>151</v>
      </c>
      <c r="L181" s="9">
        <f t="shared" si="3"/>
        <v>3624</v>
      </c>
    </row>
    <row r="182" spans="1:12" ht="15" customHeight="1" x14ac:dyDescent="0.2">
      <c r="A182" s="14">
        <v>46156</v>
      </c>
      <c r="B182" s="5"/>
      <c r="F182" s="7" t="str">
        <f>IFERROR(VLOOKUP(G182, data!A:B, 2, FALSE), "Tienda")</f>
        <v>SC PLAZA SAN PEDRO</v>
      </c>
      <c r="G182" s="1">
        <v>1140</v>
      </c>
      <c r="H182" s="2">
        <v>620</v>
      </c>
      <c r="I182" s="3" t="s">
        <v>11</v>
      </c>
      <c r="J182" s="4">
        <v>16</v>
      </c>
      <c r="K182" s="8">
        <f>IFERROR(VLOOKUP(I182, data!E:F, 2, FALSE), "Precio Unidad")</f>
        <v>177</v>
      </c>
      <c r="L182" s="9">
        <f t="shared" si="3"/>
        <v>2832</v>
      </c>
    </row>
    <row r="183" spans="1:12" ht="15" customHeight="1" x14ac:dyDescent="0.2">
      <c r="A183" s="14">
        <v>46156</v>
      </c>
      <c r="B183" s="5"/>
      <c r="F183" s="7" t="str">
        <f>IFERROR(VLOOKUP(G183, data!A:B, 2, FALSE), "Tienda")</f>
        <v>SC PLAZA SAN PEDRO</v>
      </c>
      <c r="G183" s="1">
        <v>1140</v>
      </c>
      <c r="H183" s="2">
        <v>620</v>
      </c>
      <c r="I183" s="3" t="s">
        <v>12</v>
      </c>
      <c r="J183" s="4">
        <v>20</v>
      </c>
      <c r="K183" s="8">
        <f>IFERROR(VLOOKUP(I183, data!E:F, 2, FALSE), "Precio Unidad")</f>
        <v>95</v>
      </c>
      <c r="L183" s="9">
        <f t="shared" si="3"/>
        <v>1900</v>
      </c>
    </row>
    <row r="184" spans="1:12" ht="15" customHeight="1" x14ac:dyDescent="0.2">
      <c r="A184" s="14">
        <v>46156</v>
      </c>
      <c r="B184" s="5"/>
      <c r="F184" s="7" t="str">
        <f>IFERROR(VLOOKUP(G184, data!A:B, 2, FALSE), "Tienda")</f>
        <v>SC PLAZA SAN PEDRO</v>
      </c>
      <c r="G184" s="1">
        <v>1140</v>
      </c>
      <c r="H184" s="2">
        <v>620</v>
      </c>
      <c r="I184" s="3" t="s">
        <v>13</v>
      </c>
      <c r="J184" s="4">
        <v>24</v>
      </c>
      <c r="K184" s="8">
        <f>IFERROR(VLOOKUP(I184, data!E:F, 2, FALSE), "Precio Unidad")</f>
        <v>63</v>
      </c>
      <c r="L184" s="9">
        <f t="shared" si="3"/>
        <v>1512</v>
      </c>
    </row>
    <row r="185" spans="1:12" ht="15" customHeight="1" x14ac:dyDescent="0.2">
      <c r="A185" s="14">
        <v>46157</v>
      </c>
      <c r="B185" s="5"/>
      <c r="F185" s="7" t="str">
        <f>IFERROR(VLOOKUP(G185, data!A:B, 2, FALSE), "Tienda")</f>
        <v>SC ENSENADA</v>
      </c>
      <c r="G185" s="1">
        <v>3015</v>
      </c>
      <c r="H185" s="2">
        <v>621</v>
      </c>
      <c r="I185" s="3" t="s">
        <v>7</v>
      </c>
      <c r="J185" s="4">
        <v>10</v>
      </c>
      <c r="K185" s="8">
        <f>IFERROR(VLOOKUP(I185, data!E:F, 2, FALSE), "Precio Unidad")</f>
        <v>113</v>
      </c>
      <c r="L185" s="9">
        <f t="shared" si="3"/>
        <v>1130</v>
      </c>
    </row>
    <row r="186" spans="1:12" ht="15" customHeight="1" x14ac:dyDescent="0.2">
      <c r="A186" s="14">
        <v>46157</v>
      </c>
      <c r="B186" s="5"/>
      <c r="F186" s="7" t="str">
        <f>IFERROR(VLOOKUP(G186, data!A:B, 2, FALSE), "Tienda")</f>
        <v>SC ENSENADA</v>
      </c>
      <c r="G186" s="1">
        <v>3015</v>
      </c>
      <c r="H186" s="2">
        <v>621</v>
      </c>
      <c r="I186" s="3" t="s">
        <v>10</v>
      </c>
      <c r="J186" s="4">
        <v>8</v>
      </c>
      <c r="K186" s="8">
        <f>IFERROR(VLOOKUP(I186, data!E:F, 2, FALSE), "Precio Unidad")</f>
        <v>151</v>
      </c>
      <c r="L186" s="9">
        <f t="shared" si="3"/>
        <v>1208</v>
      </c>
    </row>
    <row r="187" spans="1:12" ht="15" customHeight="1" x14ac:dyDescent="0.2">
      <c r="A187" s="14">
        <v>46157</v>
      </c>
      <c r="B187" s="5"/>
      <c r="F187" s="7" t="str">
        <f>IFERROR(VLOOKUP(G187, data!A:B, 2, FALSE), "Tienda")</f>
        <v>SC ENSENADA</v>
      </c>
      <c r="G187" s="1">
        <v>3015</v>
      </c>
      <c r="H187" s="2">
        <v>621</v>
      </c>
      <c r="I187" s="3" t="s">
        <v>13</v>
      </c>
      <c r="J187" s="4">
        <v>8</v>
      </c>
      <c r="K187" s="8">
        <f>IFERROR(VLOOKUP(I187, data!E:F, 2, FALSE), "Precio Unidad")</f>
        <v>63</v>
      </c>
      <c r="L187" s="9">
        <f t="shared" si="3"/>
        <v>504</v>
      </c>
    </row>
    <row r="188" spans="1:12" ht="15" customHeight="1" x14ac:dyDescent="0.2">
      <c r="A188" s="14">
        <v>46157</v>
      </c>
      <c r="B188" s="5"/>
      <c r="F188" s="7" t="str">
        <f>IFERROR(VLOOKUP(G188, data!A:B, 2, FALSE), "Tienda")</f>
        <v>SC ENSENADA CENTRO</v>
      </c>
      <c r="G188" s="1">
        <v>2947</v>
      </c>
      <c r="H188" s="2">
        <v>622</v>
      </c>
      <c r="I188" s="3" t="s">
        <v>7</v>
      </c>
      <c r="J188" s="4">
        <v>10</v>
      </c>
      <c r="K188" s="8">
        <f>IFERROR(VLOOKUP(I188, data!E:F, 2, FALSE), "Precio Unidad")</f>
        <v>113</v>
      </c>
      <c r="L188" s="9">
        <f t="shared" si="3"/>
        <v>1130</v>
      </c>
    </row>
    <row r="189" spans="1:12" ht="15" customHeight="1" x14ac:dyDescent="0.2">
      <c r="A189" s="14">
        <v>46157</v>
      </c>
      <c r="B189" s="5"/>
      <c r="F189" s="7" t="str">
        <f>IFERROR(VLOOKUP(G189, data!A:B, 2, FALSE), "Tienda")</f>
        <v>SC ENSENADA CENTRO</v>
      </c>
      <c r="G189" s="1">
        <v>2947</v>
      </c>
      <c r="H189" s="2">
        <v>622</v>
      </c>
      <c r="I189" s="3" t="s">
        <v>10</v>
      </c>
      <c r="J189" s="4">
        <v>8</v>
      </c>
      <c r="K189" s="8">
        <f>IFERROR(VLOOKUP(I189, data!E:F, 2, FALSE), "Precio Unidad")</f>
        <v>151</v>
      </c>
      <c r="L189" s="9">
        <f t="shared" si="3"/>
        <v>1208</v>
      </c>
    </row>
    <row r="190" spans="1:12" ht="15" customHeight="1" x14ac:dyDescent="0.2">
      <c r="A190" s="14">
        <v>46157</v>
      </c>
      <c r="B190" s="5"/>
      <c r="F190" s="7" t="str">
        <f>IFERROR(VLOOKUP(G190, data!A:B, 2, FALSE), "Tienda")</f>
        <v>SC ENSENADA CENTRO</v>
      </c>
      <c r="G190" s="1">
        <v>2947</v>
      </c>
      <c r="H190" s="2">
        <v>622</v>
      </c>
      <c r="I190" s="3" t="s">
        <v>12</v>
      </c>
      <c r="J190" s="4">
        <v>10</v>
      </c>
      <c r="K190" s="8">
        <f>IFERROR(VLOOKUP(I190, data!E:F, 2, FALSE), "Precio Unidad")</f>
        <v>95</v>
      </c>
      <c r="L190" s="9">
        <f t="shared" si="3"/>
        <v>950</v>
      </c>
    </row>
    <row r="191" spans="1:12" ht="15" customHeight="1" x14ac:dyDescent="0.2">
      <c r="A191" s="14">
        <v>46157</v>
      </c>
      <c r="B191" s="5"/>
      <c r="F191" s="7" t="str">
        <f>IFERROR(VLOOKUP(G191, data!A:B, 2, FALSE), "Tienda")</f>
        <v>SC ENSENADA CENTRO</v>
      </c>
      <c r="G191" s="1">
        <v>2947</v>
      </c>
      <c r="H191" s="2">
        <v>622</v>
      </c>
      <c r="I191" s="3" t="s">
        <v>13</v>
      </c>
      <c r="J191" s="4">
        <v>8</v>
      </c>
      <c r="K191" s="8">
        <f>IFERROR(VLOOKUP(I191, data!E:F, 2, FALSE), "Precio Unidad")</f>
        <v>63</v>
      </c>
      <c r="L191" s="9">
        <f t="shared" si="3"/>
        <v>504</v>
      </c>
    </row>
    <row r="192" spans="1:12" ht="15" customHeight="1" x14ac:dyDescent="0.2">
      <c r="A192" s="14">
        <v>46158</v>
      </c>
      <c r="B192" s="5"/>
      <c r="F192" s="7" t="str">
        <f>IFERROR(VLOOKUP(G192, data!A:B, 2, FALSE), "Tienda")</f>
        <v>SC ROSARITO</v>
      </c>
      <c r="G192" s="1">
        <v>4187</v>
      </c>
      <c r="H192" s="2">
        <v>626</v>
      </c>
      <c r="I192" s="3" t="s">
        <v>7</v>
      </c>
      <c r="J192" s="4">
        <v>20</v>
      </c>
      <c r="K192" s="8">
        <f>IFERROR(VLOOKUP(I192, data!E:F, 2, FALSE), "Precio Unidad")</f>
        <v>113</v>
      </c>
      <c r="L192" s="9">
        <f t="shared" si="3"/>
        <v>2260</v>
      </c>
    </row>
    <row r="193" spans="1:12" ht="15" customHeight="1" x14ac:dyDescent="0.2">
      <c r="A193" s="14">
        <v>46158</v>
      </c>
      <c r="B193" s="5"/>
      <c r="F193" s="7" t="str">
        <f>IFERROR(VLOOKUP(G193, data!A:B, 2, FALSE), "Tienda")</f>
        <v>SC ROSARITO</v>
      </c>
      <c r="G193" s="1">
        <v>4187</v>
      </c>
      <c r="H193" s="2">
        <v>626</v>
      </c>
      <c r="I193" s="3" t="s">
        <v>10</v>
      </c>
      <c r="J193" s="4">
        <v>8</v>
      </c>
      <c r="K193" s="8">
        <f>IFERROR(VLOOKUP(I193, data!E:F, 2, FALSE), "Precio Unidad")</f>
        <v>151</v>
      </c>
      <c r="L193" s="9">
        <f t="shared" si="3"/>
        <v>1208</v>
      </c>
    </row>
    <row r="194" spans="1:12" ht="15" customHeight="1" x14ac:dyDescent="0.2">
      <c r="A194" s="14">
        <v>46158</v>
      </c>
      <c r="B194" s="5"/>
      <c r="F194" s="7" t="str">
        <f>IFERROR(VLOOKUP(G194, data!A:B, 2, FALSE), "Tienda")</f>
        <v>SC ROSARITO</v>
      </c>
      <c r="G194" s="1">
        <v>4187</v>
      </c>
      <c r="H194" s="2">
        <v>626</v>
      </c>
      <c r="I194" s="3" t="s">
        <v>13</v>
      </c>
      <c r="J194" s="4">
        <v>8</v>
      </c>
      <c r="K194" s="8">
        <f>IFERROR(VLOOKUP(I194, data!E:F, 2, FALSE), "Precio Unidad")</f>
        <v>63</v>
      </c>
      <c r="L194" s="9">
        <f t="shared" si="3"/>
        <v>504</v>
      </c>
    </row>
    <row r="195" spans="1:12" ht="15" customHeight="1" x14ac:dyDescent="0.2">
      <c r="A195" s="14">
        <v>46158</v>
      </c>
      <c r="B195" s="5"/>
      <c r="F195" s="7" t="str">
        <f>IFERROR(VLOOKUP(G195, data!A:B, 2, FALSE), "Tienda")</f>
        <v>SC DIAZ ORDAZ</v>
      </c>
      <c r="G195" s="1">
        <v>3664</v>
      </c>
      <c r="H195" s="2">
        <v>627</v>
      </c>
      <c r="I195" s="3" t="s">
        <v>10</v>
      </c>
      <c r="J195" s="4">
        <v>8</v>
      </c>
      <c r="K195" s="8">
        <f>IFERROR(VLOOKUP(I195, data!E:F, 2, FALSE), "Precio Unidad")</f>
        <v>151</v>
      </c>
      <c r="L195" s="9">
        <f t="shared" si="3"/>
        <v>1208</v>
      </c>
    </row>
    <row r="196" spans="1:12" ht="15" customHeight="1" x14ac:dyDescent="0.2">
      <c r="A196" s="14">
        <v>46158</v>
      </c>
      <c r="B196" s="5"/>
      <c r="F196" s="7" t="str">
        <f>IFERROR(VLOOKUP(G196, data!A:B, 2, FALSE), "Tienda")</f>
        <v>SC DIAZ ORDAZ</v>
      </c>
      <c r="G196" s="1">
        <v>3664</v>
      </c>
      <c r="H196" s="2">
        <v>627</v>
      </c>
      <c r="I196" s="3" t="s">
        <v>13</v>
      </c>
      <c r="J196" s="4">
        <v>8</v>
      </c>
      <c r="K196" s="8">
        <f>IFERROR(VLOOKUP(I196, data!E:F, 2, FALSE), "Precio Unidad")</f>
        <v>63</v>
      </c>
      <c r="L196" s="9">
        <f t="shared" si="3"/>
        <v>504</v>
      </c>
    </row>
    <row r="197" spans="1:12" ht="15" customHeight="1" x14ac:dyDescent="0.2">
      <c r="A197" s="14">
        <v>46158</v>
      </c>
      <c r="B197" s="5"/>
      <c r="F197" s="7" t="str">
        <f>IFERROR(VLOOKUP(G197, data!A:B, 2, FALSE), "Tienda")</f>
        <v>SC MACROPLAZA INSURGENTES</v>
      </c>
      <c r="G197" s="1">
        <v>2023</v>
      </c>
      <c r="H197" s="2">
        <v>628</v>
      </c>
      <c r="I197" s="3" t="s">
        <v>10</v>
      </c>
      <c r="J197" s="4">
        <v>8</v>
      </c>
      <c r="K197" s="8">
        <f>IFERROR(VLOOKUP(I197, data!E:F, 2, FALSE), "Precio Unidad")</f>
        <v>151</v>
      </c>
      <c r="L197" s="9">
        <f t="shared" si="3"/>
        <v>1208</v>
      </c>
    </row>
    <row r="198" spans="1:12" ht="15" customHeight="1" x14ac:dyDescent="0.2">
      <c r="A198" s="14">
        <v>46158</v>
      </c>
      <c r="B198" s="5"/>
      <c r="F198" s="7" t="str">
        <f>IFERROR(VLOOKUP(G198, data!A:B, 2, FALSE), "Tienda")</f>
        <v>SC MACROPLAZA INSURGENTES</v>
      </c>
      <c r="G198" s="1">
        <v>2023</v>
      </c>
      <c r="H198" s="2">
        <v>628</v>
      </c>
      <c r="I198" s="3" t="s">
        <v>13</v>
      </c>
      <c r="J198" s="4">
        <v>8</v>
      </c>
      <c r="K198" s="8">
        <f>IFERROR(VLOOKUP(I198, data!E:F, 2, FALSE), "Precio Unidad")</f>
        <v>63</v>
      </c>
      <c r="L198" s="9">
        <f t="shared" si="3"/>
        <v>504</v>
      </c>
    </row>
    <row r="199" spans="1:12" ht="15" customHeight="1" x14ac:dyDescent="0.2">
      <c r="A199" s="14">
        <v>46158</v>
      </c>
      <c r="B199" s="5"/>
      <c r="F199" s="7" t="str">
        <f>IFERROR(VLOOKUP(G199, data!A:B, 2, FALSE), "Tienda")</f>
        <v>SC LOMAS DE SANTA FE</v>
      </c>
      <c r="G199" s="1">
        <v>190</v>
      </c>
      <c r="H199" s="2">
        <v>629</v>
      </c>
      <c r="I199" s="3" t="s">
        <v>6</v>
      </c>
      <c r="J199" s="4">
        <v>8</v>
      </c>
      <c r="K199" s="8">
        <f>IFERROR(VLOOKUP(I199, data!E:F, 2, FALSE), "Precio Unidad")</f>
        <v>167</v>
      </c>
      <c r="L199" s="9">
        <f t="shared" si="3"/>
        <v>1336</v>
      </c>
    </row>
    <row r="200" spans="1:12" ht="15" customHeight="1" x14ac:dyDescent="0.2">
      <c r="A200" s="14">
        <v>46158</v>
      </c>
      <c r="B200" s="5"/>
      <c r="F200" s="7" t="str">
        <f>IFERROR(VLOOKUP(G200, data!A:B, 2, FALSE), "Tienda")</f>
        <v>SC LOMAS DE SANTA FE</v>
      </c>
      <c r="G200" s="1">
        <v>190</v>
      </c>
      <c r="H200" s="2">
        <v>629</v>
      </c>
      <c r="I200" s="3" t="s">
        <v>10</v>
      </c>
      <c r="J200" s="4">
        <v>8</v>
      </c>
      <c r="K200" s="8">
        <f>IFERROR(VLOOKUP(I200, data!E:F, 2, FALSE), "Precio Unidad")</f>
        <v>151</v>
      </c>
      <c r="L200" s="9">
        <f t="shared" si="3"/>
        <v>1208</v>
      </c>
    </row>
    <row r="201" spans="1:12" ht="15" customHeight="1" x14ac:dyDescent="0.2">
      <c r="A201" s="14">
        <v>46158</v>
      </c>
      <c r="B201" s="5"/>
      <c r="F201" s="7" t="str">
        <f>IFERROR(VLOOKUP(G201, data!A:B, 2, FALSE), "Tienda")</f>
        <v>SC LOMAS DE SANTA FE</v>
      </c>
      <c r="G201" s="1">
        <v>190</v>
      </c>
      <c r="H201" s="2">
        <v>629</v>
      </c>
      <c r="I201" s="3" t="s">
        <v>13</v>
      </c>
      <c r="J201" s="4">
        <v>8</v>
      </c>
      <c r="K201" s="8">
        <f>IFERROR(VLOOKUP(I201, data!E:F, 2, FALSE), "Precio Unidad")</f>
        <v>63</v>
      </c>
      <c r="L201" s="9">
        <f t="shared" si="3"/>
        <v>504</v>
      </c>
    </row>
    <row r="202" spans="1:12" ht="15" customHeight="1" x14ac:dyDescent="0.2">
      <c r="A202" s="14">
        <v>46158</v>
      </c>
      <c r="B202" s="5"/>
      <c r="F202" s="7" t="str">
        <f>IFERROR(VLOOKUP(G202, data!A:B, 2, FALSE), "Tienda")</f>
        <v>SC PACIFICO</v>
      </c>
      <c r="G202" s="1">
        <v>1616</v>
      </c>
      <c r="H202" s="2">
        <v>630</v>
      </c>
      <c r="I202" s="3" t="s">
        <v>7</v>
      </c>
      <c r="J202" s="4">
        <v>10</v>
      </c>
      <c r="K202" s="8">
        <f>IFERROR(VLOOKUP(I202, data!E:F, 2, FALSE), "Precio Unidad")</f>
        <v>113</v>
      </c>
      <c r="L202" s="9">
        <f t="shared" si="3"/>
        <v>1130</v>
      </c>
    </row>
    <row r="203" spans="1:12" ht="15" customHeight="1" x14ac:dyDescent="0.2">
      <c r="A203" s="14">
        <v>46158</v>
      </c>
      <c r="B203" s="5"/>
      <c r="F203" s="7" t="str">
        <f>IFERROR(VLOOKUP(G203, data!A:B, 2, FALSE), "Tienda")</f>
        <v>SC PACIFICO</v>
      </c>
      <c r="G203" s="1">
        <v>1616</v>
      </c>
      <c r="H203" s="2">
        <v>630</v>
      </c>
      <c r="I203" s="3" t="s">
        <v>10</v>
      </c>
      <c r="J203" s="4">
        <v>8</v>
      </c>
      <c r="K203" s="8">
        <f>IFERROR(VLOOKUP(I203, data!E:F, 2, FALSE), "Precio Unidad")</f>
        <v>151</v>
      </c>
      <c r="L203" s="9">
        <f t="shared" si="3"/>
        <v>1208</v>
      </c>
    </row>
    <row r="204" spans="1:12" ht="15" customHeight="1" x14ac:dyDescent="0.2">
      <c r="A204" s="14">
        <v>46158</v>
      </c>
      <c r="B204" s="5"/>
      <c r="F204" s="7" t="str">
        <f>IFERROR(VLOOKUP(G204, data!A:B, 2, FALSE), "Tienda")</f>
        <v>SC PACIFICO</v>
      </c>
      <c r="G204" s="1">
        <v>1616</v>
      </c>
      <c r="H204" s="2">
        <v>630</v>
      </c>
      <c r="I204" s="3" t="s">
        <v>12</v>
      </c>
      <c r="J204" s="4">
        <v>10</v>
      </c>
      <c r="K204" s="8">
        <f>IFERROR(VLOOKUP(I204, data!E:F, 2, FALSE), "Precio Unidad")</f>
        <v>95</v>
      </c>
      <c r="L204" s="9">
        <f t="shared" si="3"/>
        <v>950</v>
      </c>
    </row>
    <row r="205" spans="1:12" ht="15" customHeight="1" x14ac:dyDescent="0.2">
      <c r="A205" s="14">
        <v>46158</v>
      </c>
      <c r="B205" s="5"/>
      <c r="F205" s="7" t="str">
        <f>IFERROR(VLOOKUP(G205, data!A:B, 2, FALSE), "Tienda")</f>
        <v>SC PLAYAS DE TIJUANA</v>
      </c>
      <c r="G205" s="1">
        <v>1613</v>
      </c>
      <c r="H205" s="2">
        <v>631</v>
      </c>
      <c r="I205" s="3" t="s">
        <v>6</v>
      </c>
      <c r="J205" s="4">
        <v>8</v>
      </c>
      <c r="K205" s="8">
        <f>IFERROR(VLOOKUP(I205, data!E:F, 2, FALSE), "Precio Unidad")</f>
        <v>167</v>
      </c>
      <c r="L205" s="9">
        <f t="shared" si="3"/>
        <v>1336</v>
      </c>
    </row>
    <row r="206" spans="1:12" ht="15" customHeight="1" x14ac:dyDescent="0.2">
      <c r="A206" s="14">
        <v>46158</v>
      </c>
      <c r="B206" s="5"/>
      <c r="F206" s="7" t="str">
        <f>IFERROR(VLOOKUP(G206, data!A:B, 2, FALSE), "Tienda")</f>
        <v>SC PLAYAS DE TIJUANA</v>
      </c>
      <c r="G206" s="1">
        <v>1613</v>
      </c>
      <c r="H206" s="2">
        <v>631</v>
      </c>
      <c r="I206" s="3" t="s">
        <v>11</v>
      </c>
      <c r="J206" s="4">
        <v>8</v>
      </c>
      <c r="K206" s="8">
        <f>IFERROR(VLOOKUP(I206, data!E:F, 2, FALSE), "Precio Unidad")</f>
        <v>177</v>
      </c>
      <c r="L206" s="9">
        <f t="shared" si="3"/>
        <v>1416</v>
      </c>
    </row>
    <row r="207" spans="1:12" ht="15" customHeight="1" x14ac:dyDescent="0.2">
      <c r="A207" s="14">
        <v>46158</v>
      </c>
      <c r="B207" s="5"/>
      <c r="F207" s="7" t="str">
        <f>IFERROR(VLOOKUP(G207, data!A:B, 2, FALSE), "Tienda")</f>
        <v>SC PLAYAS DE TIJUANA</v>
      </c>
      <c r="G207" s="1">
        <v>1613</v>
      </c>
      <c r="H207" s="2">
        <v>631</v>
      </c>
      <c r="I207" s="3" t="s">
        <v>13</v>
      </c>
      <c r="J207" s="4">
        <v>8</v>
      </c>
      <c r="K207" s="8">
        <f>IFERROR(VLOOKUP(I207, data!E:F, 2, FALSE), "Precio Unidad")</f>
        <v>63</v>
      </c>
      <c r="L207" s="9">
        <f t="shared" si="3"/>
        <v>504</v>
      </c>
    </row>
    <row r="208" spans="1:12" ht="15" customHeight="1" x14ac:dyDescent="0.2">
      <c r="A208" s="14">
        <v>46160</v>
      </c>
      <c r="B208" s="5"/>
      <c r="F208" s="7" t="str">
        <f>IFERROR(VLOOKUP(G208, data!A:B, 2, FALSE), "Tienda")</f>
        <v>SC ENSENADA CENTRO</v>
      </c>
      <c r="G208" s="1">
        <v>2947</v>
      </c>
      <c r="H208" s="2">
        <v>632</v>
      </c>
      <c r="I208" s="3" t="s">
        <v>10</v>
      </c>
      <c r="J208" s="4">
        <v>16</v>
      </c>
      <c r="K208" s="8">
        <f>IFERROR(VLOOKUP(I208, data!E:F, 2, FALSE), "Precio Unidad")</f>
        <v>151</v>
      </c>
      <c r="L208" s="9">
        <f t="shared" si="3"/>
        <v>2416</v>
      </c>
    </row>
    <row r="209" spans="1:12" ht="15" customHeight="1" x14ac:dyDescent="0.2">
      <c r="A209" s="14">
        <v>46160</v>
      </c>
      <c r="B209" s="5"/>
      <c r="F209" s="7" t="str">
        <f>IFERROR(VLOOKUP(G209, data!A:B, 2, FALSE), "Tienda")</f>
        <v>SC ENSENADA CENTRO</v>
      </c>
      <c r="G209" s="1">
        <v>2947</v>
      </c>
      <c r="H209" s="2">
        <v>632</v>
      </c>
      <c r="I209" s="3" t="s">
        <v>12</v>
      </c>
      <c r="J209" s="4">
        <v>10</v>
      </c>
      <c r="K209" s="8">
        <f>IFERROR(VLOOKUP(I209, data!E:F, 2, FALSE), "Precio Unidad")</f>
        <v>95</v>
      </c>
      <c r="L209" s="9">
        <f t="shared" si="3"/>
        <v>950</v>
      </c>
    </row>
    <row r="210" spans="1:12" ht="15" customHeight="1" x14ac:dyDescent="0.2">
      <c r="A210" s="14">
        <v>46160</v>
      </c>
      <c r="B210" s="5"/>
      <c r="F210" s="7" t="str">
        <f>IFERROR(VLOOKUP(G210, data!A:B, 2, FALSE), "Tienda")</f>
        <v>SC ENSENADA CENTRO</v>
      </c>
      <c r="G210" s="1">
        <v>2947</v>
      </c>
      <c r="H210" s="2">
        <v>632</v>
      </c>
      <c r="I210" s="3" t="s">
        <v>13</v>
      </c>
      <c r="J210" s="4">
        <v>8</v>
      </c>
      <c r="K210" s="8">
        <f>IFERROR(VLOOKUP(I210, data!E:F, 2, FALSE), "Precio Unidad")</f>
        <v>63</v>
      </c>
      <c r="L210" s="9">
        <f t="shared" si="3"/>
        <v>504</v>
      </c>
    </row>
    <row r="211" spans="1:12" ht="15" customHeight="1" x14ac:dyDescent="0.2">
      <c r="A211" s="14">
        <v>46161</v>
      </c>
      <c r="B211" s="5"/>
      <c r="F211" s="7" t="str">
        <f>IFERROR(VLOOKUP(G211, data!A:B, 2, FALSE), "Tienda")</f>
        <v>SC TIJUANA 2000</v>
      </c>
      <c r="G211" s="1">
        <v>4155</v>
      </c>
      <c r="H211" s="2">
        <v>633</v>
      </c>
      <c r="I211" s="3" t="s">
        <v>6</v>
      </c>
      <c r="J211" s="4">
        <v>8</v>
      </c>
      <c r="K211" s="8">
        <f>IFERROR(VLOOKUP(I211, data!E:F, 2, FALSE), "Precio Unidad")</f>
        <v>167</v>
      </c>
      <c r="L211" s="9">
        <f t="shared" si="3"/>
        <v>1336</v>
      </c>
    </row>
    <row r="212" spans="1:12" ht="15" customHeight="1" x14ac:dyDescent="0.2">
      <c r="A212" s="14">
        <v>46161</v>
      </c>
      <c r="B212" s="5"/>
      <c r="F212" s="7" t="str">
        <f>IFERROR(VLOOKUP(G212, data!A:B, 2, FALSE), "Tienda")</f>
        <v>SC TIJUANA 2000</v>
      </c>
      <c r="G212" s="1">
        <v>4155</v>
      </c>
      <c r="H212" s="2">
        <v>633</v>
      </c>
      <c r="I212" s="3" t="s">
        <v>10</v>
      </c>
      <c r="J212" s="4">
        <v>8</v>
      </c>
      <c r="K212" s="8">
        <f>IFERROR(VLOOKUP(I212, data!E:F, 2, FALSE), "Precio Unidad")</f>
        <v>151</v>
      </c>
      <c r="L212" s="9">
        <f t="shared" si="3"/>
        <v>1208</v>
      </c>
    </row>
    <row r="213" spans="1:12" ht="15" customHeight="1" x14ac:dyDescent="0.2">
      <c r="A213" s="14">
        <v>46161</v>
      </c>
      <c r="B213" s="5"/>
      <c r="F213" s="7" t="str">
        <f>IFERROR(VLOOKUP(G213, data!A:B, 2, FALSE), "Tienda")</f>
        <v>SC TIJUANA 2000</v>
      </c>
      <c r="G213" s="1">
        <v>4155</v>
      </c>
      <c r="H213" s="2">
        <v>633</v>
      </c>
      <c r="I213" s="3" t="s">
        <v>12</v>
      </c>
      <c r="J213" s="4">
        <v>10</v>
      </c>
      <c r="K213" s="8">
        <f>IFERROR(VLOOKUP(I213, data!E:F, 2, FALSE), "Precio Unidad")</f>
        <v>95</v>
      </c>
      <c r="L213" s="9">
        <f t="shared" si="3"/>
        <v>950</v>
      </c>
    </row>
    <row r="214" spans="1:12" ht="15" customHeight="1" x14ac:dyDescent="0.2">
      <c r="A214" s="14">
        <v>46161</v>
      </c>
      <c r="B214" s="5"/>
      <c r="F214" s="7" t="str">
        <f>IFERROR(VLOOKUP(G214, data!A:B, 2, FALSE), "Tienda")</f>
        <v>SC TIJUANA 2000</v>
      </c>
      <c r="G214" s="1">
        <v>4155</v>
      </c>
      <c r="H214" s="2">
        <v>633</v>
      </c>
      <c r="I214" s="3" t="s">
        <v>13</v>
      </c>
      <c r="J214" s="4">
        <v>8</v>
      </c>
      <c r="K214" s="8">
        <f>IFERROR(VLOOKUP(I214, data!E:F, 2, FALSE), "Precio Unidad")</f>
        <v>63</v>
      </c>
      <c r="L214" s="9">
        <f t="shared" si="3"/>
        <v>504</v>
      </c>
    </row>
    <row r="215" spans="1:12" ht="15" customHeight="1" x14ac:dyDescent="0.2">
      <c r="A215" s="14">
        <v>46161</v>
      </c>
      <c r="B215" s="5"/>
      <c r="F215" s="7" t="str">
        <f>IFERROR(VLOOKUP(G215, data!A:B, 2, FALSE), "Tienda")</f>
        <v>SC NUEVO MEXICALI</v>
      </c>
      <c r="G215" s="1">
        <v>5041</v>
      </c>
      <c r="H215" s="2">
        <v>635</v>
      </c>
      <c r="I215" s="3" t="s">
        <v>6</v>
      </c>
      <c r="J215" s="4">
        <v>8</v>
      </c>
      <c r="K215" s="8">
        <f>IFERROR(VLOOKUP(I215, data!E:F, 2, FALSE), "Precio Unidad")</f>
        <v>167</v>
      </c>
      <c r="L215" s="9">
        <f t="shared" si="3"/>
        <v>1336</v>
      </c>
    </row>
    <row r="216" spans="1:12" ht="15" customHeight="1" x14ac:dyDescent="0.2">
      <c r="A216" s="14">
        <v>46161</v>
      </c>
      <c r="B216" s="5"/>
      <c r="F216" s="7" t="str">
        <f>IFERROR(VLOOKUP(G216, data!A:B, 2, FALSE), "Tienda")</f>
        <v>SC NUEVO MEXICALI</v>
      </c>
      <c r="G216" s="1">
        <v>5041</v>
      </c>
      <c r="H216" s="2">
        <v>635</v>
      </c>
      <c r="I216" s="3" t="s">
        <v>10</v>
      </c>
      <c r="J216" s="4">
        <v>40</v>
      </c>
      <c r="K216" s="8">
        <f>IFERROR(VLOOKUP(I216, data!E:F, 2, FALSE), "Precio Unidad")</f>
        <v>151</v>
      </c>
      <c r="L216" s="9">
        <f t="shared" si="3"/>
        <v>6040</v>
      </c>
    </row>
    <row r="217" spans="1:12" ht="15" customHeight="1" x14ac:dyDescent="0.2">
      <c r="A217" s="14">
        <v>46161</v>
      </c>
      <c r="B217" s="5"/>
      <c r="F217" s="7" t="str">
        <f>IFERROR(VLOOKUP(G217, data!A:B, 2, FALSE), "Tienda")</f>
        <v>SC NUEVO MEXICALI</v>
      </c>
      <c r="G217" s="1">
        <v>5041</v>
      </c>
      <c r="H217" s="2">
        <v>635</v>
      </c>
      <c r="I217" s="3" t="s">
        <v>11</v>
      </c>
      <c r="J217" s="4">
        <v>32</v>
      </c>
      <c r="K217" s="8">
        <f>IFERROR(VLOOKUP(I217, data!E:F, 2, FALSE), "Precio Unidad")</f>
        <v>177</v>
      </c>
      <c r="L217" s="9">
        <f t="shared" si="3"/>
        <v>5664</v>
      </c>
    </row>
    <row r="218" spans="1:12" ht="15" customHeight="1" x14ac:dyDescent="0.2">
      <c r="A218" s="14">
        <v>46161</v>
      </c>
      <c r="B218" s="5"/>
      <c r="F218" s="7" t="str">
        <f>IFERROR(VLOOKUP(G218, data!A:B, 2, FALSE), "Tienda")</f>
        <v>SC NUEVO MEXICALI</v>
      </c>
      <c r="G218" s="1">
        <v>5041</v>
      </c>
      <c r="H218" s="2">
        <v>635</v>
      </c>
      <c r="I218" s="3" t="s">
        <v>12</v>
      </c>
      <c r="J218" s="4">
        <v>60</v>
      </c>
      <c r="K218" s="8">
        <f>IFERROR(VLOOKUP(I218, data!E:F, 2, FALSE), "Precio Unidad")</f>
        <v>95</v>
      </c>
      <c r="L218" s="9">
        <f t="shared" ref="L218:L280" si="4">K218*J218</f>
        <v>5700</v>
      </c>
    </row>
    <row r="219" spans="1:12" ht="15" customHeight="1" x14ac:dyDescent="0.2">
      <c r="A219" s="14">
        <v>46161</v>
      </c>
      <c r="B219" s="5"/>
      <c r="F219" s="7" t="str">
        <f>IFERROR(VLOOKUP(G219, data!A:B, 2, FALSE), "Tienda")</f>
        <v>SC NUEVO MEXICALI</v>
      </c>
      <c r="G219" s="1">
        <v>5041</v>
      </c>
      <c r="H219" s="2">
        <v>635</v>
      </c>
      <c r="I219" s="3" t="s">
        <v>13</v>
      </c>
      <c r="J219" s="4">
        <v>32</v>
      </c>
      <c r="K219" s="8">
        <f>IFERROR(VLOOKUP(I219, data!E:F, 2, FALSE), "Precio Unidad")</f>
        <v>63</v>
      </c>
      <c r="L219" s="9">
        <f t="shared" si="4"/>
        <v>2016</v>
      </c>
    </row>
    <row r="220" spans="1:12" ht="15" customHeight="1" x14ac:dyDescent="0.2">
      <c r="A220" s="14">
        <v>46161</v>
      </c>
      <c r="B220" s="5"/>
      <c r="F220" s="7" t="str">
        <f>IFERROR(VLOOKUP(G220, data!A:B, 2, FALSE), "Tienda")</f>
        <v>SC GALERIAS DEL VALLE</v>
      </c>
      <c r="G220" s="1">
        <v>4026</v>
      </c>
      <c r="H220" s="2">
        <v>636</v>
      </c>
      <c r="I220" s="3" t="s">
        <v>10</v>
      </c>
      <c r="J220" s="4">
        <v>8</v>
      </c>
      <c r="K220" s="8">
        <f>IFERROR(VLOOKUP(I220, data!E:F, 2, FALSE), "Precio Unidad")</f>
        <v>151</v>
      </c>
      <c r="L220" s="9">
        <f t="shared" si="4"/>
        <v>1208</v>
      </c>
    </row>
    <row r="221" spans="1:12" ht="15" customHeight="1" x14ac:dyDescent="0.2">
      <c r="A221" s="14">
        <v>46161</v>
      </c>
      <c r="B221" s="5"/>
      <c r="F221" s="7" t="str">
        <f>IFERROR(VLOOKUP(G221, data!A:B, 2, FALSE), "Tienda")</f>
        <v>SC GALERIAS DEL VALLE</v>
      </c>
      <c r="G221" s="1">
        <v>4026</v>
      </c>
      <c r="H221" s="2">
        <v>636</v>
      </c>
      <c r="I221" s="3" t="s">
        <v>10</v>
      </c>
      <c r="J221" s="4">
        <v>16</v>
      </c>
      <c r="K221" s="8">
        <f>IFERROR(VLOOKUP(I221, data!E:F, 2, FALSE), "Precio Unidad")</f>
        <v>151</v>
      </c>
      <c r="L221" s="9">
        <f t="shared" si="4"/>
        <v>2416</v>
      </c>
    </row>
    <row r="222" spans="1:12" ht="15" customHeight="1" x14ac:dyDescent="0.2">
      <c r="A222" s="14">
        <v>46161</v>
      </c>
      <c r="B222" s="5"/>
      <c r="F222" s="7" t="str">
        <f>IFERROR(VLOOKUP(G222, data!A:B, 2, FALSE), "Tienda")</f>
        <v>SC GALERIAS DEL VALLE</v>
      </c>
      <c r="G222" s="1">
        <v>4026</v>
      </c>
      <c r="H222" s="2">
        <v>636</v>
      </c>
      <c r="I222" s="3" t="s">
        <v>12</v>
      </c>
      <c r="J222" s="4">
        <v>30</v>
      </c>
      <c r="K222" s="8">
        <f>IFERROR(VLOOKUP(I222, data!E:F, 2, FALSE), "Precio Unidad")</f>
        <v>95</v>
      </c>
      <c r="L222" s="9">
        <f t="shared" si="4"/>
        <v>2850</v>
      </c>
    </row>
    <row r="223" spans="1:12" ht="15" customHeight="1" x14ac:dyDescent="0.2">
      <c r="A223" s="14">
        <v>46161</v>
      </c>
      <c r="B223" s="5"/>
      <c r="F223" s="7" t="str">
        <f>IFERROR(VLOOKUP(G223, data!A:B, 2, FALSE), "Tienda")</f>
        <v>SC GALERIAS DEL VALLE</v>
      </c>
      <c r="G223" s="1">
        <v>4026</v>
      </c>
      <c r="H223" s="2">
        <v>636</v>
      </c>
      <c r="I223" s="3" t="s">
        <v>13</v>
      </c>
      <c r="J223" s="4">
        <v>32</v>
      </c>
      <c r="K223" s="8">
        <f>IFERROR(VLOOKUP(I223, data!E:F, 2, FALSE), "Precio Unidad")</f>
        <v>63</v>
      </c>
      <c r="L223" s="9">
        <f t="shared" si="4"/>
        <v>2016</v>
      </c>
    </row>
    <row r="224" spans="1:12" ht="15" customHeight="1" x14ac:dyDescent="0.2">
      <c r="A224" s="14">
        <v>46161</v>
      </c>
      <c r="B224" s="5"/>
      <c r="F224" s="7" t="str">
        <f>IFERROR(VLOOKUP(G224, data!A:B, 2, FALSE), "Tienda")</f>
        <v>SC MEXICALI</v>
      </c>
      <c r="G224" s="1">
        <v>2304</v>
      </c>
      <c r="H224" s="2">
        <v>637</v>
      </c>
      <c r="I224" s="3" t="s">
        <v>10</v>
      </c>
      <c r="J224" s="4">
        <v>24</v>
      </c>
      <c r="K224" s="8">
        <f>IFERROR(VLOOKUP(I224, data!E:F, 2, FALSE), "Precio Unidad")</f>
        <v>151</v>
      </c>
      <c r="L224" s="9">
        <f t="shared" si="4"/>
        <v>3624</v>
      </c>
    </row>
    <row r="225" spans="1:12" ht="15" customHeight="1" x14ac:dyDescent="0.2">
      <c r="A225" s="14">
        <v>46161</v>
      </c>
      <c r="B225" s="5"/>
      <c r="F225" s="7" t="str">
        <f>IFERROR(VLOOKUP(G225, data!A:B, 2, FALSE), "Tienda")</f>
        <v>SC MEXICALI</v>
      </c>
      <c r="G225" s="1">
        <v>2304</v>
      </c>
      <c r="H225" s="2">
        <v>637</v>
      </c>
      <c r="I225" s="3" t="s">
        <v>11</v>
      </c>
      <c r="J225" s="4">
        <v>16</v>
      </c>
      <c r="K225" s="8">
        <f>IFERROR(VLOOKUP(I225, data!E:F, 2, FALSE), "Precio Unidad")</f>
        <v>177</v>
      </c>
      <c r="L225" s="9">
        <f t="shared" si="4"/>
        <v>2832</v>
      </c>
    </row>
    <row r="226" spans="1:12" ht="15" customHeight="1" x14ac:dyDescent="0.2">
      <c r="A226" s="14">
        <v>46161</v>
      </c>
      <c r="B226" s="5"/>
      <c r="F226" s="7" t="str">
        <f>IFERROR(VLOOKUP(G226, data!A:B, 2, FALSE), "Tienda")</f>
        <v>SC MEXICALI</v>
      </c>
      <c r="G226" s="1">
        <v>2304</v>
      </c>
      <c r="H226" s="2">
        <v>637</v>
      </c>
      <c r="I226" s="3" t="s">
        <v>12</v>
      </c>
      <c r="J226" s="4">
        <v>40</v>
      </c>
      <c r="K226" s="8">
        <f>IFERROR(VLOOKUP(I226, data!E:F, 2, FALSE), "Precio Unidad")</f>
        <v>95</v>
      </c>
      <c r="L226" s="9">
        <f t="shared" si="4"/>
        <v>3800</v>
      </c>
    </row>
    <row r="227" spans="1:12" ht="15" customHeight="1" x14ac:dyDescent="0.2">
      <c r="A227" s="14">
        <v>46161</v>
      </c>
      <c r="B227" s="5"/>
      <c r="F227" s="7" t="str">
        <f>IFERROR(VLOOKUP(G227, data!A:B, 2, FALSE), "Tienda")</f>
        <v>SC MEXICALI</v>
      </c>
      <c r="G227" s="1">
        <v>2304</v>
      </c>
      <c r="H227" s="2">
        <v>637</v>
      </c>
      <c r="I227" s="3" t="s">
        <v>13</v>
      </c>
      <c r="J227" s="4">
        <v>24</v>
      </c>
      <c r="K227" s="8">
        <f>IFERROR(VLOOKUP(I227, data!E:F, 2, FALSE), "Precio Unidad")</f>
        <v>63</v>
      </c>
      <c r="L227" s="9">
        <f t="shared" si="4"/>
        <v>1512</v>
      </c>
    </row>
    <row r="228" spans="1:12" ht="15" customHeight="1" x14ac:dyDescent="0.2">
      <c r="A228" s="14">
        <v>46161</v>
      </c>
      <c r="B228" s="5"/>
      <c r="F228" s="7" t="str">
        <f>IFERROR(VLOOKUP(G228, data!A:B, 2, FALSE), "Tienda")</f>
        <v>SC MEXICALI NOVENA</v>
      </c>
      <c r="G228" s="1">
        <v>1617</v>
      </c>
      <c r="H228" s="2">
        <v>638</v>
      </c>
      <c r="I228" s="3" t="s">
        <v>6</v>
      </c>
      <c r="J228" s="4">
        <v>8</v>
      </c>
      <c r="K228" s="8">
        <f>IFERROR(VLOOKUP(I228, data!E:F, 2, FALSE), "Precio Unidad")</f>
        <v>167</v>
      </c>
      <c r="L228" s="9">
        <f t="shared" si="4"/>
        <v>1336</v>
      </c>
    </row>
    <row r="229" spans="1:12" ht="15" customHeight="1" x14ac:dyDescent="0.2">
      <c r="A229" s="14">
        <v>46161</v>
      </c>
      <c r="B229" s="5"/>
      <c r="F229" s="7" t="str">
        <f>IFERROR(VLOOKUP(G229, data!A:B, 2, FALSE), "Tienda")</f>
        <v>SC MEXICALI NOVENA</v>
      </c>
      <c r="G229" s="1">
        <v>1617</v>
      </c>
      <c r="H229" s="2">
        <v>638</v>
      </c>
      <c r="I229" s="3" t="s">
        <v>10</v>
      </c>
      <c r="J229" s="4">
        <v>32</v>
      </c>
      <c r="K229" s="8">
        <f>IFERROR(VLOOKUP(I229, data!E:F, 2, FALSE), "Precio Unidad")</f>
        <v>151</v>
      </c>
      <c r="L229" s="9">
        <f t="shared" si="4"/>
        <v>4832</v>
      </c>
    </row>
    <row r="230" spans="1:12" ht="15" customHeight="1" x14ac:dyDescent="0.2">
      <c r="A230" s="14">
        <v>46161</v>
      </c>
      <c r="B230" s="5"/>
      <c r="F230" s="7" t="str">
        <f>IFERROR(VLOOKUP(G230, data!A:B, 2, FALSE), "Tienda")</f>
        <v>SC MEXICALI NOVENA</v>
      </c>
      <c r="G230" s="1">
        <v>1617</v>
      </c>
      <c r="H230" s="2">
        <v>638</v>
      </c>
      <c r="I230" s="3" t="s">
        <v>11</v>
      </c>
      <c r="J230" s="4">
        <v>32</v>
      </c>
      <c r="K230" s="8">
        <f>IFERROR(VLOOKUP(I230, data!E:F, 2, FALSE), "Precio Unidad")</f>
        <v>177</v>
      </c>
      <c r="L230" s="9">
        <f t="shared" si="4"/>
        <v>5664</v>
      </c>
    </row>
    <row r="231" spans="1:12" ht="15" customHeight="1" x14ac:dyDescent="0.2">
      <c r="A231" s="14">
        <v>46161</v>
      </c>
      <c r="B231" s="5"/>
      <c r="F231" s="7" t="str">
        <f>IFERROR(VLOOKUP(G231, data!A:B, 2, FALSE), "Tienda")</f>
        <v>SC MEXICALI NOVENA</v>
      </c>
      <c r="G231" s="1">
        <v>1617</v>
      </c>
      <c r="H231" s="2">
        <v>638</v>
      </c>
      <c r="I231" s="3" t="s">
        <v>12</v>
      </c>
      <c r="J231" s="4">
        <v>40</v>
      </c>
      <c r="K231" s="8">
        <f>IFERROR(VLOOKUP(I231, data!E:F, 2, FALSE), "Precio Unidad")</f>
        <v>95</v>
      </c>
      <c r="L231" s="9">
        <f t="shared" si="4"/>
        <v>3800</v>
      </c>
    </row>
    <row r="232" spans="1:12" ht="15" customHeight="1" x14ac:dyDescent="0.2">
      <c r="A232" s="14">
        <v>46161</v>
      </c>
      <c r="B232" s="5"/>
      <c r="F232" s="7" t="str">
        <f>IFERROR(VLOOKUP(G232, data!A:B, 2, FALSE), "Tienda")</f>
        <v>SC MEXICALI NOVENA</v>
      </c>
      <c r="G232" s="1">
        <v>1617</v>
      </c>
      <c r="H232" s="2">
        <v>638</v>
      </c>
      <c r="I232" s="3" t="s">
        <v>13</v>
      </c>
      <c r="J232" s="4">
        <v>40</v>
      </c>
      <c r="K232" s="8">
        <f>IFERROR(VLOOKUP(I232, data!E:F, 2, FALSE), "Precio Unidad")</f>
        <v>63</v>
      </c>
      <c r="L232" s="9">
        <f t="shared" si="4"/>
        <v>2520</v>
      </c>
    </row>
    <row r="233" spans="1:12" ht="15" customHeight="1" x14ac:dyDescent="0.2">
      <c r="A233" s="14">
        <v>46161</v>
      </c>
      <c r="B233" s="5"/>
      <c r="F233" s="7" t="str">
        <f>IFERROR(VLOOKUP(G233, data!A:B, 2, FALSE), "Tienda")</f>
        <v>SC PLAZA SAN PEDRO</v>
      </c>
      <c r="G233" s="1">
        <v>1140</v>
      </c>
      <c r="H233" s="2">
        <v>639</v>
      </c>
      <c r="I233" s="3" t="s">
        <v>6</v>
      </c>
      <c r="J233" s="4">
        <v>8</v>
      </c>
      <c r="K233" s="8">
        <f>IFERROR(VLOOKUP(I233, data!E:F, 2, FALSE), "Precio Unidad")</f>
        <v>167</v>
      </c>
      <c r="L233" s="9">
        <f t="shared" si="4"/>
        <v>1336</v>
      </c>
    </row>
    <row r="234" spans="1:12" ht="15" customHeight="1" x14ac:dyDescent="0.2">
      <c r="A234" s="14">
        <v>46161</v>
      </c>
      <c r="B234" s="5"/>
      <c r="F234" s="7" t="str">
        <f>IFERROR(VLOOKUP(G234, data!A:B, 2, FALSE), "Tienda")</f>
        <v>SC PLAZA SAN PEDRO</v>
      </c>
      <c r="G234" s="1">
        <v>1140</v>
      </c>
      <c r="H234" s="2">
        <v>639</v>
      </c>
      <c r="I234" s="3" t="s">
        <v>10</v>
      </c>
      <c r="J234" s="4">
        <v>16</v>
      </c>
      <c r="K234" s="8">
        <f>IFERROR(VLOOKUP(I234, data!E:F, 2, FALSE), "Precio Unidad")</f>
        <v>151</v>
      </c>
      <c r="L234" s="9">
        <f t="shared" si="4"/>
        <v>2416</v>
      </c>
    </row>
    <row r="235" spans="1:12" ht="15" customHeight="1" x14ac:dyDescent="0.2">
      <c r="A235" s="14">
        <v>46161</v>
      </c>
      <c r="B235" s="5"/>
      <c r="F235" s="7" t="str">
        <f>IFERROR(VLOOKUP(G235, data!A:B, 2, FALSE), "Tienda")</f>
        <v>SC PLAZA SAN PEDRO</v>
      </c>
      <c r="G235" s="1">
        <v>1140</v>
      </c>
      <c r="H235" s="2">
        <v>639</v>
      </c>
      <c r="I235" s="3" t="s">
        <v>11</v>
      </c>
      <c r="J235" s="4">
        <v>16</v>
      </c>
      <c r="K235" s="8">
        <f>IFERROR(VLOOKUP(I235, data!E:F, 2, FALSE), "Precio Unidad")</f>
        <v>177</v>
      </c>
      <c r="L235" s="9">
        <f t="shared" si="4"/>
        <v>2832</v>
      </c>
    </row>
    <row r="236" spans="1:12" ht="15" customHeight="1" x14ac:dyDescent="0.2">
      <c r="A236" s="14">
        <v>46161</v>
      </c>
      <c r="B236" s="5"/>
      <c r="F236" s="7" t="str">
        <f>IFERROR(VLOOKUP(G236, data!A:B, 2, FALSE), "Tienda")</f>
        <v>SC PLAZA SAN PEDRO</v>
      </c>
      <c r="G236" s="1">
        <v>1140</v>
      </c>
      <c r="H236" s="2">
        <v>639</v>
      </c>
      <c r="I236" s="3" t="s">
        <v>12</v>
      </c>
      <c r="J236" s="4">
        <v>20</v>
      </c>
      <c r="K236" s="8">
        <f>IFERROR(VLOOKUP(I236, data!E:F, 2, FALSE), "Precio Unidad")</f>
        <v>95</v>
      </c>
      <c r="L236" s="9">
        <f t="shared" si="4"/>
        <v>1900</v>
      </c>
    </row>
    <row r="237" spans="1:12" ht="15" customHeight="1" x14ac:dyDescent="0.2">
      <c r="A237" s="14">
        <v>46161</v>
      </c>
      <c r="B237" s="5"/>
      <c r="F237" s="7" t="str">
        <f>IFERROR(VLOOKUP(G237, data!A:B, 2, FALSE), "Tienda")</f>
        <v>SC PLAZA SAN PEDRO</v>
      </c>
      <c r="G237" s="1">
        <v>1140</v>
      </c>
      <c r="H237" s="2">
        <v>639</v>
      </c>
      <c r="I237" s="3" t="s">
        <v>13</v>
      </c>
      <c r="J237" s="4">
        <v>32</v>
      </c>
      <c r="K237" s="8">
        <f>IFERROR(VLOOKUP(I237, data!E:F, 2, FALSE), "Precio Unidad")</f>
        <v>63</v>
      </c>
      <c r="L237" s="9">
        <f t="shared" si="4"/>
        <v>2016</v>
      </c>
    </row>
    <row r="238" spans="1:12" ht="15" customHeight="1" x14ac:dyDescent="0.2">
      <c r="A238" s="14">
        <v>46162</v>
      </c>
      <c r="B238" s="5"/>
      <c r="F238" s="7" t="str">
        <f>IFERROR(VLOOKUP(G238, data!A:B, 2, FALSE), "Tienda")</f>
        <v>SC TECATE GARITA</v>
      </c>
      <c r="G238" s="1">
        <v>5295</v>
      </c>
      <c r="H238" s="2">
        <v>640</v>
      </c>
      <c r="I238" s="3" t="s">
        <v>10</v>
      </c>
      <c r="J238" s="4">
        <v>16</v>
      </c>
      <c r="K238" s="8">
        <f>IFERROR(VLOOKUP(I238, data!E:F, 2, FALSE), "Precio Unidad")</f>
        <v>151</v>
      </c>
      <c r="L238" s="9">
        <f t="shared" si="4"/>
        <v>2416</v>
      </c>
    </row>
    <row r="239" spans="1:12" ht="15" customHeight="1" x14ac:dyDescent="0.2">
      <c r="A239" s="14">
        <v>46162</v>
      </c>
      <c r="B239" s="5"/>
      <c r="F239" s="7" t="str">
        <f>IFERROR(VLOOKUP(G239, data!A:B, 2, FALSE), "Tienda")</f>
        <v>SC TECATE GARITA</v>
      </c>
      <c r="G239" s="1">
        <v>5295</v>
      </c>
      <c r="H239" s="2">
        <v>640</v>
      </c>
      <c r="I239" s="3" t="s">
        <v>12</v>
      </c>
      <c r="J239" s="4">
        <v>20</v>
      </c>
      <c r="K239" s="8">
        <f>IFERROR(VLOOKUP(I239, data!E:F, 2, FALSE), "Precio Unidad")</f>
        <v>95</v>
      </c>
      <c r="L239" s="9">
        <f t="shared" si="4"/>
        <v>1900</v>
      </c>
    </row>
    <row r="240" spans="1:12" ht="15" customHeight="1" x14ac:dyDescent="0.2">
      <c r="A240" s="14">
        <v>46162</v>
      </c>
      <c r="B240" s="5"/>
      <c r="F240" s="7" t="str">
        <f>IFERROR(VLOOKUP(G240, data!A:B, 2, FALSE), "Tienda")</f>
        <v>SC TECATE GARITA</v>
      </c>
      <c r="G240" s="1">
        <v>5295</v>
      </c>
      <c r="H240" s="2">
        <v>640</v>
      </c>
      <c r="I240" s="3" t="s">
        <v>13</v>
      </c>
      <c r="J240" s="4">
        <v>8</v>
      </c>
      <c r="K240" s="8">
        <f>IFERROR(VLOOKUP(I240, data!E:F, 2, FALSE), "Precio Unidad")</f>
        <v>63</v>
      </c>
      <c r="L240" s="9">
        <f t="shared" si="4"/>
        <v>504</v>
      </c>
    </row>
    <row r="241" spans="1:12" ht="15" customHeight="1" x14ac:dyDescent="0.2">
      <c r="A241" s="14">
        <v>46162</v>
      </c>
      <c r="B241" s="5"/>
      <c r="F241" s="7" t="str">
        <f>IFERROR(VLOOKUP(G241, data!A:B, 2, FALSE), "Tienda")</f>
        <v>SC ROSARITO</v>
      </c>
      <c r="G241" s="1">
        <v>4187</v>
      </c>
      <c r="H241" s="2">
        <v>641</v>
      </c>
      <c r="I241" s="3" t="s">
        <v>12</v>
      </c>
      <c r="J241" s="4">
        <v>10</v>
      </c>
      <c r="K241" s="8">
        <f>IFERROR(VLOOKUP(I241, data!E:F, 2, FALSE), "Precio Unidad")</f>
        <v>95</v>
      </c>
      <c r="L241" s="9">
        <f t="shared" si="4"/>
        <v>950</v>
      </c>
    </row>
    <row r="242" spans="1:12" ht="15" customHeight="1" x14ac:dyDescent="0.2">
      <c r="A242" s="14">
        <v>46162</v>
      </c>
      <c r="B242" s="5"/>
      <c r="F242" s="7" t="str">
        <f>IFERROR(VLOOKUP(G242, data!A:B, 2, FALSE), "Tienda")</f>
        <v>SC ROSARITO</v>
      </c>
      <c r="G242" s="1">
        <v>4187</v>
      </c>
      <c r="H242" s="2">
        <v>641</v>
      </c>
      <c r="I242" s="3" t="s">
        <v>13</v>
      </c>
      <c r="J242" s="4">
        <v>16</v>
      </c>
      <c r="K242" s="8">
        <f>IFERROR(VLOOKUP(I242, data!E:F, 2, FALSE), "Precio Unidad")</f>
        <v>63</v>
      </c>
      <c r="L242" s="9">
        <f t="shared" si="4"/>
        <v>1008</v>
      </c>
    </row>
    <row r="243" spans="1:12" ht="15" customHeight="1" x14ac:dyDescent="0.2">
      <c r="A243" s="14">
        <v>46162</v>
      </c>
      <c r="B243" s="5"/>
      <c r="F243" s="7" t="str">
        <f>IFERROR(VLOOKUP(G243, data!A:B, 2, FALSE), "Tienda")</f>
        <v>SC TIJUANA 2000</v>
      </c>
      <c r="G243" s="1">
        <v>4155</v>
      </c>
      <c r="H243" s="2">
        <v>642</v>
      </c>
      <c r="I243" s="3" t="s">
        <v>10</v>
      </c>
      <c r="J243" s="4">
        <v>16</v>
      </c>
      <c r="K243" s="8">
        <f>IFERROR(VLOOKUP(I243, data!E:F, 2, FALSE), "Precio Unidad")</f>
        <v>151</v>
      </c>
      <c r="L243" s="9">
        <f t="shared" si="4"/>
        <v>2416</v>
      </c>
    </row>
    <row r="244" spans="1:12" ht="15" customHeight="1" x14ac:dyDescent="0.2">
      <c r="A244" s="14">
        <v>46162</v>
      </c>
      <c r="B244" s="5"/>
      <c r="F244" s="7" t="str">
        <f>IFERROR(VLOOKUP(G244, data!A:B, 2, FALSE), "Tienda")</f>
        <v>SC TIJUANA 2000</v>
      </c>
      <c r="G244" s="1">
        <v>4155</v>
      </c>
      <c r="H244" s="2">
        <v>642</v>
      </c>
      <c r="I244" s="3" t="s">
        <v>12</v>
      </c>
      <c r="J244" s="4">
        <v>10</v>
      </c>
      <c r="K244" s="8">
        <f>IFERROR(VLOOKUP(I244, data!E:F, 2, FALSE), "Precio Unidad")</f>
        <v>95</v>
      </c>
      <c r="L244" s="9">
        <f t="shared" si="4"/>
        <v>950</v>
      </c>
    </row>
    <row r="245" spans="1:12" ht="15" customHeight="1" x14ac:dyDescent="0.2">
      <c r="A245" s="14">
        <v>46162</v>
      </c>
      <c r="B245" s="5"/>
      <c r="F245" s="7" t="str">
        <f>IFERROR(VLOOKUP(G245, data!A:B, 2, FALSE), "Tienda")</f>
        <v>SC TIJUANA 2000</v>
      </c>
      <c r="G245" s="1">
        <v>4155</v>
      </c>
      <c r="H245" s="2">
        <v>642</v>
      </c>
      <c r="I245" s="3" t="s">
        <v>13</v>
      </c>
      <c r="J245" s="4">
        <v>8</v>
      </c>
      <c r="K245" s="8">
        <f>IFERROR(VLOOKUP(I245, data!E:F, 2, FALSE), "Precio Unidad")</f>
        <v>63</v>
      </c>
      <c r="L245" s="9">
        <f t="shared" si="4"/>
        <v>504</v>
      </c>
    </row>
    <row r="246" spans="1:12" ht="15" customHeight="1" x14ac:dyDescent="0.2">
      <c r="A246" s="14">
        <v>46162</v>
      </c>
      <c r="B246" s="5"/>
      <c r="F246" s="7" t="str">
        <f>IFERROR(VLOOKUP(G246, data!A:B, 2, FALSE), "Tienda")</f>
        <v>SC TIJUANA HIPODROMO</v>
      </c>
      <c r="G246" s="1">
        <v>4011</v>
      </c>
      <c r="H246" s="2">
        <v>643</v>
      </c>
      <c r="I246" s="3" t="s">
        <v>10</v>
      </c>
      <c r="J246" s="4">
        <v>8</v>
      </c>
      <c r="K246" s="8">
        <f>IFERROR(VLOOKUP(I246, data!E:F, 2, FALSE), "Precio Unidad")</f>
        <v>151</v>
      </c>
      <c r="L246" s="9">
        <f t="shared" si="4"/>
        <v>1208</v>
      </c>
    </row>
    <row r="247" spans="1:12" ht="15" customHeight="1" x14ac:dyDescent="0.2">
      <c r="A247" s="14">
        <v>46162</v>
      </c>
      <c r="B247" s="5"/>
      <c r="F247" s="7" t="str">
        <f>IFERROR(VLOOKUP(G247, data!A:B, 2, FALSE), "Tienda")</f>
        <v>SC TIJUANA HIPODROMO</v>
      </c>
      <c r="G247" s="1">
        <v>4011</v>
      </c>
      <c r="H247" s="2">
        <v>643</v>
      </c>
      <c r="I247" s="3" t="s">
        <v>11</v>
      </c>
      <c r="J247" s="4">
        <v>8</v>
      </c>
      <c r="K247" s="8">
        <f>IFERROR(VLOOKUP(I247, data!E:F, 2, FALSE), "Precio Unidad")</f>
        <v>177</v>
      </c>
      <c r="L247" s="9">
        <f t="shared" si="4"/>
        <v>1416</v>
      </c>
    </row>
    <row r="248" spans="1:12" ht="15" customHeight="1" x14ac:dyDescent="0.2">
      <c r="A248" s="14">
        <v>46162</v>
      </c>
      <c r="B248" s="5"/>
      <c r="F248" s="7" t="str">
        <f>IFERROR(VLOOKUP(G248, data!A:B, 2, FALSE), "Tienda")</f>
        <v>SC TIJUANA HIPODROMO</v>
      </c>
      <c r="G248" s="1">
        <v>4011</v>
      </c>
      <c r="H248" s="2">
        <v>643</v>
      </c>
      <c r="I248" s="3" t="s">
        <v>12</v>
      </c>
      <c r="J248" s="4">
        <v>10</v>
      </c>
      <c r="K248" s="8">
        <f>IFERROR(VLOOKUP(I248, data!E:F, 2, FALSE), "Precio Unidad")</f>
        <v>95</v>
      </c>
      <c r="L248" s="9">
        <f t="shared" si="4"/>
        <v>950</v>
      </c>
    </row>
    <row r="249" spans="1:12" ht="15" customHeight="1" x14ac:dyDescent="0.2">
      <c r="A249" s="14">
        <v>46162</v>
      </c>
      <c r="B249" s="5"/>
      <c r="F249" s="7" t="str">
        <f>IFERROR(VLOOKUP(G249, data!A:B, 2, FALSE), "Tienda")</f>
        <v>SC TIJUANA HIPODROMO</v>
      </c>
      <c r="G249" s="1">
        <v>4011</v>
      </c>
      <c r="H249" s="2">
        <v>643</v>
      </c>
      <c r="I249" s="3" t="s">
        <v>13</v>
      </c>
      <c r="J249" s="4">
        <v>8</v>
      </c>
      <c r="K249" s="8">
        <f>IFERROR(VLOOKUP(I249, data!E:F, 2, FALSE), "Precio Unidad")</f>
        <v>63</v>
      </c>
      <c r="L249" s="9">
        <f t="shared" si="4"/>
        <v>504</v>
      </c>
    </row>
    <row r="250" spans="1:12" ht="15" customHeight="1" x14ac:dyDescent="0.2">
      <c r="A250" s="14">
        <v>46162</v>
      </c>
      <c r="B250" s="5"/>
      <c r="F250" s="7" t="str">
        <f>IFERROR(VLOOKUP(G250, data!A:B, 2, FALSE), "Tienda")</f>
        <v>SC DIAZ ORDAZ</v>
      </c>
      <c r="G250" s="1">
        <v>3664</v>
      </c>
      <c r="H250" s="2">
        <v>644</v>
      </c>
      <c r="I250" s="3" t="s">
        <v>10</v>
      </c>
      <c r="J250" s="4">
        <v>8</v>
      </c>
      <c r="K250" s="8">
        <f>IFERROR(VLOOKUP(I250, data!E:F, 2, FALSE), "Precio Unidad")</f>
        <v>151</v>
      </c>
      <c r="L250" s="9">
        <f t="shared" si="4"/>
        <v>1208</v>
      </c>
    </row>
    <row r="251" spans="1:12" ht="15" customHeight="1" x14ac:dyDescent="0.2">
      <c r="A251" s="14">
        <v>46162</v>
      </c>
      <c r="B251" s="5"/>
      <c r="F251" s="7" t="str">
        <f>IFERROR(VLOOKUP(G251, data!A:B, 2, FALSE), "Tienda")</f>
        <v>SC DIAZ ORDAZ</v>
      </c>
      <c r="G251" s="1">
        <v>3664</v>
      </c>
      <c r="H251" s="2">
        <v>644</v>
      </c>
      <c r="I251" s="3" t="s">
        <v>13</v>
      </c>
      <c r="J251" s="4">
        <v>8</v>
      </c>
      <c r="K251" s="8">
        <f>IFERROR(VLOOKUP(I251, data!E:F, 2, FALSE), "Precio Unidad")</f>
        <v>63</v>
      </c>
      <c r="L251" s="9">
        <f t="shared" si="4"/>
        <v>504</v>
      </c>
    </row>
    <row r="252" spans="1:12" ht="15" customHeight="1" x14ac:dyDescent="0.2">
      <c r="A252" s="14">
        <v>46162</v>
      </c>
      <c r="B252" s="5"/>
      <c r="F252" s="7" t="str">
        <f>IFERROR(VLOOKUP(G252, data!A:B, 2, FALSE), "Tienda")</f>
        <v>SC MACROPLAZA INSURGENTES</v>
      </c>
      <c r="G252" s="1">
        <v>2023</v>
      </c>
      <c r="H252" s="2">
        <v>645</v>
      </c>
      <c r="I252" s="26" t="s">
        <v>10</v>
      </c>
      <c r="J252" s="4">
        <v>8</v>
      </c>
      <c r="K252" s="8">
        <f>IFERROR(VLOOKUP(I252, data!E:F, 2, FALSE), "Precio Unidad")</f>
        <v>151</v>
      </c>
      <c r="L252" s="9">
        <f t="shared" si="4"/>
        <v>1208</v>
      </c>
    </row>
    <row r="253" spans="1:12" ht="15" customHeight="1" x14ac:dyDescent="0.2">
      <c r="A253" s="14">
        <v>46162</v>
      </c>
      <c r="B253" s="5"/>
      <c r="F253" s="7" t="str">
        <f>IFERROR(VLOOKUP(G253, data!A:B, 2, FALSE), "Tienda")</f>
        <v>SC MACROPLAZA INSURGENTES</v>
      </c>
      <c r="G253" s="1">
        <v>2023</v>
      </c>
      <c r="H253" s="2">
        <v>645</v>
      </c>
      <c r="I253" s="3" t="s">
        <v>12</v>
      </c>
      <c r="J253" s="4">
        <v>10</v>
      </c>
      <c r="K253" s="8">
        <f>IFERROR(VLOOKUP(I253, data!E:F, 2, FALSE), "Precio Unidad")</f>
        <v>95</v>
      </c>
      <c r="L253" s="9">
        <f t="shared" si="4"/>
        <v>950</v>
      </c>
    </row>
    <row r="254" spans="1:12" ht="15" customHeight="1" x14ac:dyDescent="0.2">
      <c r="A254" s="14">
        <v>46162</v>
      </c>
      <c r="B254" s="5"/>
      <c r="F254" s="7" t="str">
        <f>IFERROR(VLOOKUP(G254, data!A:B, 2, FALSE), "Tienda")</f>
        <v>SC MACROPLAZA INSURGENTES</v>
      </c>
      <c r="G254" s="1">
        <v>2023</v>
      </c>
      <c r="H254" s="2">
        <v>645</v>
      </c>
      <c r="I254" s="3" t="s">
        <v>13</v>
      </c>
      <c r="J254" s="4">
        <v>8</v>
      </c>
      <c r="K254" s="8">
        <f>IFERROR(VLOOKUP(I254, data!E:F, 2, FALSE), "Precio Unidad")</f>
        <v>63</v>
      </c>
      <c r="L254" s="9">
        <f t="shared" si="4"/>
        <v>504</v>
      </c>
    </row>
    <row r="255" spans="1:12" ht="15" customHeight="1" x14ac:dyDescent="0.2">
      <c r="A255" s="14">
        <v>46162</v>
      </c>
      <c r="B255" s="5"/>
      <c r="F255" s="7" t="str">
        <f>IFERROR(VLOOKUP(G255, data!A:B, 2, FALSE), "Tienda")</f>
        <v>SC LOMAS DE SANTA FE</v>
      </c>
      <c r="G255" s="1">
        <v>190</v>
      </c>
      <c r="H255" s="2">
        <v>646</v>
      </c>
      <c r="I255" s="3" t="s">
        <v>6</v>
      </c>
      <c r="J255" s="4">
        <v>8</v>
      </c>
      <c r="K255" s="8">
        <f>IFERROR(VLOOKUP(I255, data!E:F, 2, FALSE), "Precio Unidad")</f>
        <v>167</v>
      </c>
      <c r="L255" s="9">
        <f t="shared" si="4"/>
        <v>1336</v>
      </c>
    </row>
    <row r="256" spans="1:12" ht="15" customHeight="1" x14ac:dyDescent="0.2">
      <c r="A256" s="14">
        <v>46162</v>
      </c>
      <c r="B256" s="5"/>
      <c r="F256" s="7" t="str">
        <f>IFERROR(VLOOKUP(G256, data!A:B, 2, FALSE), "Tienda")</f>
        <v>SC LOMAS DE SANTA FE</v>
      </c>
      <c r="G256" s="1">
        <v>190</v>
      </c>
      <c r="H256" s="2">
        <v>646</v>
      </c>
      <c r="I256" s="3" t="s">
        <v>11</v>
      </c>
      <c r="J256" s="4">
        <v>8</v>
      </c>
      <c r="K256" s="8">
        <f>IFERROR(VLOOKUP(I256, data!E:F, 2, FALSE), "Precio Unidad")</f>
        <v>177</v>
      </c>
      <c r="L256" s="9">
        <f t="shared" si="4"/>
        <v>1416</v>
      </c>
    </row>
    <row r="257" spans="1:12" ht="15" customHeight="1" x14ac:dyDescent="0.2">
      <c r="A257" s="14">
        <v>46162</v>
      </c>
      <c r="B257" s="5"/>
      <c r="F257" s="7" t="str">
        <f>IFERROR(VLOOKUP(G257, data!A:B, 2, FALSE), "Tienda")</f>
        <v>SC LOMAS DE SANTA FE</v>
      </c>
      <c r="G257" s="1">
        <v>190</v>
      </c>
      <c r="H257" s="2">
        <v>646</v>
      </c>
      <c r="I257" s="3" t="s">
        <v>13</v>
      </c>
      <c r="J257" s="4">
        <v>16</v>
      </c>
      <c r="K257" s="8">
        <f>IFERROR(VLOOKUP(I257, data!E:F, 2, FALSE), "Precio Unidad")</f>
        <v>63</v>
      </c>
      <c r="L257" s="9">
        <f t="shared" si="4"/>
        <v>1008</v>
      </c>
    </row>
    <row r="258" spans="1:12" ht="15" customHeight="1" x14ac:dyDescent="0.2">
      <c r="A258" s="14">
        <v>46162</v>
      </c>
      <c r="B258" s="5"/>
      <c r="F258" s="7" t="str">
        <f>IFERROR(VLOOKUP(G258, data!A:B, 2, FALSE), "Tienda")</f>
        <v>SC PLAYAS DE TIJUANA</v>
      </c>
      <c r="G258" s="1">
        <v>1613</v>
      </c>
      <c r="H258" s="2">
        <v>647</v>
      </c>
      <c r="I258" s="3" t="s">
        <v>6</v>
      </c>
      <c r="J258" s="4">
        <v>8</v>
      </c>
      <c r="K258" s="8">
        <f>IFERROR(VLOOKUP(I258, data!E:F, 2, FALSE), "Precio Unidad")</f>
        <v>167</v>
      </c>
      <c r="L258" s="9">
        <f t="shared" si="4"/>
        <v>1336</v>
      </c>
    </row>
    <row r="259" spans="1:12" ht="15" customHeight="1" x14ac:dyDescent="0.2">
      <c r="A259" s="14">
        <v>46162</v>
      </c>
      <c r="B259" s="5"/>
      <c r="F259" s="7" t="str">
        <f>IFERROR(VLOOKUP(G259, data!A:B, 2, FALSE), "Tienda")</f>
        <v>SC PLAYAS DE TIJUANA</v>
      </c>
      <c r="G259" s="1">
        <v>1613</v>
      </c>
      <c r="H259" s="2">
        <v>647</v>
      </c>
      <c r="I259" s="3" t="s">
        <v>11</v>
      </c>
      <c r="J259" s="4">
        <v>8</v>
      </c>
      <c r="K259" s="8">
        <f>IFERROR(VLOOKUP(I259, data!E:F, 2, FALSE), "Precio Unidad")</f>
        <v>177</v>
      </c>
      <c r="L259" s="9">
        <f t="shared" si="4"/>
        <v>1416</v>
      </c>
    </row>
    <row r="260" spans="1:12" ht="15" customHeight="1" x14ac:dyDescent="0.2">
      <c r="A260" s="14">
        <v>46162</v>
      </c>
      <c r="B260" s="5"/>
      <c r="F260" s="7" t="str">
        <f>IFERROR(VLOOKUP(G260, data!A:B, 2, FALSE), "Tienda")</f>
        <v>SC PLAYAS DE TIJUANA</v>
      </c>
      <c r="G260" s="1">
        <v>1613</v>
      </c>
      <c r="H260" s="2">
        <v>647</v>
      </c>
      <c r="I260" s="3" t="s">
        <v>13</v>
      </c>
      <c r="J260" s="4">
        <v>16</v>
      </c>
      <c r="K260" s="8">
        <f>IFERROR(VLOOKUP(I260, data!E:F, 2, FALSE), "Precio Unidad")</f>
        <v>63</v>
      </c>
      <c r="L260" s="9">
        <f t="shared" si="4"/>
        <v>1008</v>
      </c>
    </row>
    <row r="261" spans="1:12" ht="15" customHeight="1" x14ac:dyDescent="0.2">
      <c r="A261" s="45">
        <v>46164</v>
      </c>
      <c r="B261" s="5"/>
      <c r="F261" s="7" t="str">
        <f>IFERROR(VLOOKUP(G261, data!A:B, 2, FALSE), "Tienda")</f>
        <v>SC ENSENADA CENTRO</v>
      </c>
      <c r="G261" s="46">
        <v>2947</v>
      </c>
      <c r="H261" s="2">
        <v>648</v>
      </c>
      <c r="I261" s="3" t="s">
        <v>12</v>
      </c>
      <c r="J261" s="4">
        <v>10</v>
      </c>
      <c r="K261" s="8">
        <f>IFERROR(VLOOKUP(I261, data!E:F, 2, FALSE), "Precio Unidad")</f>
        <v>95</v>
      </c>
      <c r="L261" s="9">
        <f t="shared" si="4"/>
        <v>950</v>
      </c>
    </row>
    <row r="262" spans="1:12" ht="15" customHeight="1" x14ac:dyDescent="0.2">
      <c r="A262" s="45">
        <v>46164</v>
      </c>
      <c r="B262" s="5"/>
      <c r="F262" s="7" t="str">
        <f>IFERROR(VLOOKUP(G262, data!A:B, 2, FALSE), "Tienda")</f>
        <v>SC ENSENADA CENTRO</v>
      </c>
      <c r="G262" s="46">
        <v>2947</v>
      </c>
      <c r="H262" s="2">
        <v>648</v>
      </c>
      <c r="I262" s="3" t="s">
        <v>13</v>
      </c>
      <c r="J262" s="4">
        <v>16</v>
      </c>
      <c r="K262" s="8">
        <f>IFERROR(VLOOKUP(I262, data!E:F, 2, FALSE), "Precio Unidad")</f>
        <v>63</v>
      </c>
      <c r="L262" s="9">
        <f t="shared" si="4"/>
        <v>1008</v>
      </c>
    </row>
    <row r="263" spans="1:12" ht="15" customHeight="1" x14ac:dyDescent="0.2">
      <c r="A263" s="45">
        <v>46164</v>
      </c>
      <c r="B263" s="5"/>
      <c r="F263" s="7" t="str">
        <f>IFERROR(VLOOKUP(G263, data!A:B, 2, FALSE), "Tienda")</f>
        <v>SC ENSENADA</v>
      </c>
      <c r="G263" s="46">
        <v>3015</v>
      </c>
      <c r="H263" s="2">
        <v>649</v>
      </c>
      <c r="I263" s="3" t="s">
        <v>10</v>
      </c>
      <c r="J263" s="4">
        <v>8</v>
      </c>
      <c r="K263" s="8">
        <f>IFERROR(VLOOKUP(I263, data!E:F, 2, FALSE), "Precio Unidad")</f>
        <v>151</v>
      </c>
      <c r="L263" s="9">
        <f t="shared" si="4"/>
        <v>1208</v>
      </c>
    </row>
    <row r="264" spans="1:12" ht="15" customHeight="1" x14ac:dyDescent="0.2">
      <c r="A264" s="45">
        <v>46164</v>
      </c>
      <c r="B264" s="5"/>
      <c r="F264" s="7" t="str">
        <f>IFERROR(VLOOKUP(G264, data!A:B, 2, FALSE), "Tienda")</f>
        <v>SC ENSENADA</v>
      </c>
      <c r="G264" s="46">
        <v>3015</v>
      </c>
      <c r="H264" s="2">
        <v>649</v>
      </c>
      <c r="I264" s="3" t="s">
        <v>12</v>
      </c>
      <c r="J264" s="4">
        <v>9</v>
      </c>
      <c r="K264" s="8">
        <f>IFERROR(VLOOKUP(I264, data!E:F, 2, FALSE), "Precio Unidad")</f>
        <v>95</v>
      </c>
      <c r="L264" s="9">
        <f t="shared" si="4"/>
        <v>855</v>
      </c>
    </row>
    <row r="265" spans="1:12" ht="15" customHeight="1" x14ac:dyDescent="0.2">
      <c r="A265" s="45">
        <v>46164</v>
      </c>
      <c r="B265" s="5"/>
      <c r="F265" s="7" t="str">
        <f>IFERROR(VLOOKUP(G265, data!A:B, 2, FALSE), "Tienda")</f>
        <v>SC ENSENADA</v>
      </c>
      <c r="G265" s="46">
        <v>3015</v>
      </c>
      <c r="H265" s="2">
        <v>649</v>
      </c>
      <c r="I265" s="3" t="s">
        <v>13</v>
      </c>
      <c r="J265" s="4">
        <v>8</v>
      </c>
      <c r="K265" s="8">
        <f>IFERROR(VLOOKUP(I265, data!E:F, 2, FALSE), "Precio Unidad")</f>
        <v>63</v>
      </c>
      <c r="L265" s="9">
        <f t="shared" si="4"/>
        <v>504</v>
      </c>
    </row>
    <row r="266" spans="1:12" ht="15" customHeight="1" x14ac:dyDescent="0.2">
      <c r="A266" s="45">
        <v>46165</v>
      </c>
      <c r="B266" s="5"/>
      <c r="F266" s="7" t="str">
        <f>IFERROR(VLOOKUP(G266, data!A:B, 2, FALSE), "Tienda")</f>
        <v>SC LOMAS DE SANTA FE</v>
      </c>
      <c r="G266" s="46">
        <v>190</v>
      </c>
      <c r="H266" s="2">
        <v>650</v>
      </c>
      <c r="I266" s="3" t="s">
        <v>10</v>
      </c>
      <c r="J266" s="4">
        <v>8</v>
      </c>
      <c r="K266" s="8">
        <f>IFERROR(VLOOKUP(I266, data!E:F, 2, FALSE), "Precio Unidad")</f>
        <v>151</v>
      </c>
      <c r="L266" s="9">
        <f t="shared" si="4"/>
        <v>1208</v>
      </c>
    </row>
    <row r="267" spans="1:12" ht="15" customHeight="1" x14ac:dyDescent="0.2">
      <c r="A267" s="45">
        <v>46165</v>
      </c>
      <c r="B267" s="5"/>
      <c r="F267" s="7" t="str">
        <f>IFERROR(VLOOKUP(G267, data!A:B, 2, FALSE), "Tienda")</f>
        <v>SC LOMAS DE SANTA FE</v>
      </c>
      <c r="G267" s="46">
        <v>190</v>
      </c>
      <c r="H267" s="2">
        <v>650</v>
      </c>
      <c r="I267" s="3" t="s">
        <v>12</v>
      </c>
      <c r="J267" s="4">
        <v>10</v>
      </c>
      <c r="K267" s="8">
        <f>IFERROR(VLOOKUP(I267, data!E:F, 2, FALSE), "Precio Unidad")</f>
        <v>95</v>
      </c>
      <c r="L267" s="9">
        <f t="shared" si="4"/>
        <v>950</v>
      </c>
    </row>
    <row r="268" spans="1:12" ht="15" customHeight="1" x14ac:dyDescent="0.2">
      <c r="A268" s="45">
        <v>46165</v>
      </c>
      <c r="B268" s="5"/>
      <c r="F268" s="7" t="str">
        <f>IFERROR(VLOOKUP(G268, data!A:B, 2, FALSE), "Tienda")</f>
        <v>SC LOMAS DE SANTA FE</v>
      </c>
      <c r="G268" s="46">
        <v>190</v>
      </c>
      <c r="H268" s="2">
        <v>650</v>
      </c>
      <c r="I268" s="3" t="s">
        <v>13</v>
      </c>
      <c r="J268" s="4">
        <v>8</v>
      </c>
      <c r="K268" s="8">
        <f>IFERROR(VLOOKUP(I268, data!E:F, 2, FALSE), "Precio Unidad")</f>
        <v>63</v>
      </c>
      <c r="L268" s="9">
        <f t="shared" si="4"/>
        <v>504</v>
      </c>
    </row>
    <row r="269" spans="1:12" ht="15" customHeight="1" x14ac:dyDescent="0.2">
      <c r="A269" s="45">
        <v>46165</v>
      </c>
      <c r="B269" s="5"/>
      <c r="F269" s="7" t="str">
        <f>IFERROR(VLOOKUP(G269, data!A:B, 2, FALSE), "Tienda")</f>
        <v>SC PLAYAS DE TIJUANA</v>
      </c>
      <c r="G269" s="46">
        <v>1613</v>
      </c>
      <c r="H269" s="2">
        <v>651</v>
      </c>
      <c r="I269" s="3" t="s">
        <v>10</v>
      </c>
      <c r="J269" s="4">
        <v>8</v>
      </c>
      <c r="K269" s="8">
        <f>IFERROR(VLOOKUP(I269, data!E:F, 2, FALSE), "Precio Unidad")</f>
        <v>151</v>
      </c>
      <c r="L269" s="9">
        <f t="shared" si="4"/>
        <v>1208</v>
      </c>
    </row>
    <row r="270" spans="1:12" ht="15" customHeight="1" x14ac:dyDescent="0.2">
      <c r="A270" s="45">
        <v>46165</v>
      </c>
      <c r="B270" s="5"/>
      <c r="F270" s="7" t="str">
        <f>IFERROR(VLOOKUP(G270, data!A:B, 2, FALSE), "Tienda")</f>
        <v>SC PLAYAS DE TIJUANA</v>
      </c>
      <c r="G270" s="46">
        <v>1613</v>
      </c>
      <c r="H270" s="2">
        <v>651</v>
      </c>
      <c r="I270" s="3" t="s">
        <v>11</v>
      </c>
      <c r="J270" s="4">
        <v>8</v>
      </c>
      <c r="K270" s="8">
        <f>IFERROR(VLOOKUP(I270, data!E:F, 2, FALSE), "Precio Unidad")</f>
        <v>177</v>
      </c>
      <c r="L270" s="9">
        <f t="shared" si="4"/>
        <v>1416</v>
      </c>
    </row>
    <row r="271" spans="1:12" ht="15" customHeight="1" x14ac:dyDescent="0.2">
      <c r="A271" s="45">
        <v>46165</v>
      </c>
      <c r="B271" s="5"/>
      <c r="F271" s="7" t="str">
        <f>IFERROR(VLOOKUP(G271, data!A:B, 2, FALSE), "Tienda")</f>
        <v>SC PLAYAS DE TIJUANA</v>
      </c>
      <c r="G271" s="46">
        <v>1613</v>
      </c>
      <c r="H271" s="2">
        <v>651</v>
      </c>
      <c r="I271" s="3" t="s">
        <v>13</v>
      </c>
      <c r="J271" s="4">
        <v>8</v>
      </c>
      <c r="K271" s="8">
        <f>IFERROR(VLOOKUP(I271, data!E:F, 2, FALSE), "Precio Unidad")</f>
        <v>63</v>
      </c>
      <c r="L271" s="9">
        <f t="shared" si="4"/>
        <v>504</v>
      </c>
    </row>
    <row r="272" spans="1:12" ht="15" customHeight="1" x14ac:dyDescent="0.2">
      <c r="A272" s="45">
        <v>46165</v>
      </c>
      <c r="B272" s="5"/>
      <c r="F272" s="7" t="str">
        <f>IFERROR(VLOOKUP(G272, data!A:B, 2, FALSE), "Tienda")</f>
        <v>SC PACIFICO</v>
      </c>
      <c r="G272" s="46">
        <v>1616</v>
      </c>
      <c r="H272" s="2">
        <v>652</v>
      </c>
      <c r="I272" s="3" t="s">
        <v>12</v>
      </c>
      <c r="J272" s="4">
        <v>10</v>
      </c>
      <c r="K272" s="8">
        <f>IFERROR(VLOOKUP(I272, data!E:F, 2, FALSE), "Precio Unidad")</f>
        <v>95</v>
      </c>
      <c r="L272" s="9">
        <f t="shared" si="4"/>
        <v>950</v>
      </c>
    </row>
    <row r="273" spans="1:12" ht="15" customHeight="1" x14ac:dyDescent="0.2">
      <c r="A273" s="45">
        <v>46165</v>
      </c>
      <c r="B273" s="5"/>
      <c r="F273" s="7" t="str">
        <f>IFERROR(VLOOKUP(G273, data!A:B, 2, FALSE), "Tienda")</f>
        <v>SC PACIFICO</v>
      </c>
      <c r="G273" s="46">
        <v>1616</v>
      </c>
      <c r="H273" s="2">
        <v>652</v>
      </c>
      <c r="I273" s="3" t="s">
        <v>13</v>
      </c>
      <c r="J273" s="4">
        <v>8</v>
      </c>
      <c r="K273" s="8">
        <f>IFERROR(VLOOKUP(I273, data!E:F, 2, FALSE), "Precio Unidad")</f>
        <v>63</v>
      </c>
      <c r="L273" s="9">
        <f t="shared" si="4"/>
        <v>504</v>
      </c>
    </row>
    <row r="274" spans="1:12" ht="15" customHeight="1" x14ac:dyDescent="0.2">
      <c r="A274" s="45">
        <v>46165</v>
      </c>
      <c r="B274" s="5"/>
      <c r="F274" s="7" t="str">
        <f>IFERROR(VLOOKUP(G274, data!A:B, 2, FALSE), "Tienda")</f>
        <v>SC ROSARITO</v>
      </c>
      <c r="G274" s="46">
        <v>4187</v>
      </c>
      <c r="H274" s="2">
        <v>653</v>
      </c>
      <c r="I274" s="3" t="s">
        <v>12</v>
      </c>
      <c r="J274" s="4">
        <v>10</v>
      </c>
      <c r="K274" s="8">
        <f>IFERROR(VLOOKUP(I274, data!E:F, 2, FALSE), "Precio Unidad")</f>
        <v>95</v>
      </c>
      <c r="L274" s="9">
        <f t="shared" si="4"/>
        <v>950</v>
      </c>
    </row>
    <row r="275" spans="1:12" ht="15" customHeight="1" x14ac:dyDescent="0.2">
      <c r="A275" s="45">
        <v>46165</v>
      </c>
      <c r="B275" s="5"/>
      <c r="F275" s="7" t="str">
        <f>IFERROR(VLOOKUP(G275, data!A:B, 2, FALSE), "Tienda")</f>
        <v>SC ROSARITO</v>
      </c>
      <c r="G275" s="46">
        <v>4187</v>
      </c>
      <c r="H275" s="2">
        <v>653</v>
      </c>
      <c r="I275" s="3" t="s">
        <v>13</v>
      </c>
      <c r="J275" s="4">
        <v>8</v>
      </c>
      <c r="K275" s="8">
        <f>IFERROR(VLOOKUP(I275, data!E:F, 2, FALSE), "Precio Unidad")</f>
        <v>63</v>
      </c>
      <c r="L275" s="9">
        <f t="shared" si="4"/>
        <v>504</v>
      </c>
    </row>
    <row r="276" spans="1:12" ht="15" customHeight="1" x14ac:dyDescent="0.2">
      <c r="A276" s="45">
        <v>46165</v>
      </c>
      <c r="B276" s="5"/>
      <c r="F276" s="7" t="str">
        <f>IFERROR(VLOOKUP(G276, data!A:B, 2, FALSE), "Tienda")</f>
        <v>SC TIJUANA HIPODROMO</v>
      </c>
      <c r="G276" s="46">
        <v>4011</v>
      </c>
      <c r="H276" s="2">
        <v>654</v>
      </c>
      <c r="I276" s="3" t="s">
        <v>11</v>
      </c>
      <c r="J276" s="4">
        <v>8</v>
      </c>
      <c r="K276" s="8">
        <f>IFERROR(VLOOKUP(I276, data!E:F, 2, FALSE), "Precio Unidad")</f>
        <v>177</v>
      </c>
      <c r="L276" s="9">
        <f t="shared" si="4"/>
        <v>1416</v>
      </c>
    </row>
    <row r="277" spans="1:12" ht="15" customHeight="1" x14ac:dyDescent="0.2">
      <c r="A277" s="45">
        <v>46165</v>
      </c>
      <c r="B277" s="5"/>
      <c r="F277" s="7" t="str">
        <f>IFERROR(VLOOKUP(G277, data!A:B, 2, FALSE), "Tienda")</f>
        <v>SC TIJUANA HIPODROMO</v>
      </c>
      <c r="G277" s="46">
        <v>4011</v>
      </c>
      <c r="H277" s="2">
        <v>654</v>
      </c>
      <c r="I277" s="3" t="s">
        <v>12</v>
      </c>
      <c r="J277" s="4">
        <v>10</v>
      </c>
      <c r="K277" s="8">
        <f>IFERROR(VLOOKUP(I277, data!E:F, 2, FALSE), "Precio Unidad")</f>
        <v>95</v>
      </c>
      <c r="L277" s="9">
        <f t="shared" si="4"/>
        <v>950</v>
      </c>
    </row>
    <row r="278" spans="1:12" ht="15" customHeight="1" x14ac:dyDescent="0.2">
      <c r="A278" s="45">
        <v>46165</v>
      </c>
      <c r="B278" s="5"/>
      <c r="F278" s="7" t="str">
        <f>IFERROR(VLOOKUP(G278, data!A:B, 2, FALSE), "Tienda")</f>
        <v>SC TIJUANA HIPODROMO</v>
      </c>
      <c r="G278" s="46">
        <v>4011</v>
      </c>
      <c r="H278" s="2">
        <v>654</v>
      </c>
      <c r="I278" s="3" t="s">
        <v>13</v>
      </c>
      <c r="J278" s="4">
        <v>8</v>
      </c>
      <c r="K278" s="8">
        <f>IFERROR(VLOOKUP(I278, data!E:F, 2, FALSE), "Precio Unidad")</f>
        <v>63</v>
      </c>
      <c r="L278" s="9">
        <f t="shared" si="4"/>
        <v>504</v>
      </c>
    </row>
    <row r="279" spans="1:12" ht="15" customHeight="1" x14ac:dyDescent="0.2">
      <c r="A279" s="45">
        <v>46165</v>
      </c>
      <c r="B279" s="5"/>
      <c r="F279" s="7" t="str">
        <f>IFERROR(VLOOKUP(G279, data!A:B, 2, FALSE), "Tienda")</f>
        <v>SC DIAZ ORDAZ</v>
      </c>
      <c r="G279" s="46">
        <v>3664</v>
      </c>
      <c r="H279" s="2">
        <v>655</v>
      </c>
      <c r="I279" s="3" t="s">
        <v>12</v>
      </c>
      <c r="J279" s="4">
        <v>20</v>
      </c>
      <c r="K279" s="8">
        <f>IFERROR(VLOOKUP(I279, data!E:F, 2, FALSE), "Precio Unidad")</f>
        <v>95</v>
      </c>
      <c r="L279" s="9">
        <f t="shared" si="4"/>
        <v>1900</v>
      </c>
    </row>
    <row r="280" spans="1:12" ht="15" customHeight="1" x14ac:dyDescent="0.2">
      <c r="A280" s="45">
        <v>46165</v>
      </c>
      <c r="B280" s="5"/>
      <c r="F280" s="7" t="str">
        <f>IFERROR(VLOOKUP(G280, data!A:B, 2, FALSE), "Tienda")</f>
        <v>SC DIAZ ORDAZ</v>
      </c>
      <c r="G280" s="46">
        <v>3664</v>
      </c>
      <c r="H280" s="2">
        <v>655</v>
      </c>
      <c r="I280" s="3" t="s">
        <v>13</v>
      </c>
      <c r="J280" s="4">
        <v>8</v>
      </c>
      <c r="K280" s="8">
        <f>IFERROR(VLOOKUP(I280, data!E:F, 2, FALSE), "Precio Unidad")</f>
        <v>63</v>
      </c>
      <c r="L280" s="9">
        <f t="shared" si="4"/>
        <v>504</v>
      </c>
    </row>
    <row r="281" spans="1:12" ht="15" customHeight="1" x14ac:dyDescent="0.2">
      <c r="A281" s="45">
        <v>46165</v>
      </c>
      <c r="B281" s="5"/>
      <c r="F281" s="7" t="str">
        <f>IFERROR(VLOOKUP(G281, data!A:B, 2, FALSE), "Tienda")</f>
        <v>SC MACROPLAZA INSURGENTES</v>
      </c>
      <c r="G281" s="46">
        <v>2023</v>
      </c>
      <c r="H281" s="2">
        <v>656</v>
      </c>
      <c r="I281" s="3" t="s">
        <v>12</v>
      </c>
      <c r="J281" s="4">
        <v>20</v>
      </c>
      <c r="K281" s="8">
        <f>IFERROR(VLOOKUP(I281, data!E:F, 2, FALSE), "Precio Unidad")</f>
        <v>95</v>
      </c>
      <c r="L281" s="9">
        <f t="shared" ref="L281:L344" si="5">K281*J281</f>
        <v>1900</v>
      </c>
    </row>
    <row r="282" spans="1:12" ht="15" customHeight="1" x14ac:dyDescent="0.2">
      <c r="A282" s="45">
        <v>46165</v>
      </c>
      <c r="B282" s="5"/>
      <c r="F282" s="7" t="str">
        <f>IFERROR(VLOOKUP(G282, data!A:B, 2, FALSE), "Tienda")</f>
        <v>SC MACROPLAZA INSURGENTES</v>
      </c>
      <c r="G282" s="46">
        <v>2023</v>
      </c>
      <c r="H282" s="2">
        <v>656</v>
      </c>
      <c r="I282" s="3" t="s">
        <v>13</v>
      </c>
      <c r="J282" s="4">
        <v>8</v>
      </c>
      <c r="K282" s="8">
        <f>IFERROR(VLOOKUP(I282, data!E:F, 2, FALSE), "Precio Unidad")</f>
        <v>63</v>
      </c>
      <c r="L282" s="9">
        <f t="shared" si="5"/>
        <v>504</v>
      </c>
    </row>
    <row r="283" spans="1:12" ht="15" customHeight="1" x14ac:dyDescent="0.2">
      <c r="A283" s="45">
        <v>46165</v>
      </c>
      <c r="B283" s="5"/>
      <c r="F283" s="7" t="str">
        <f>IFERROR(VLOOKUP(G283, data!A:B, 2, FALSE), "Tienda")</f>
        <v>SC TIJUANA 2000</v>
      </c>
      <c r="G283" s="46">
        <v>4155</v>
      </c>
      <c r="H283" s="2">
        <v>657</v>
      </c>
      <c r="I283" s="3" t="s">
        <v>10</v>
      </c>
      <c r="J283" s="4">
        <v>7</v>
      </c>
      <c r="K283" s="8">
        <f>IFERROR(VLOOKUP(I283, data!E:F, 2, FALSE), "Precio Unidad")</f>
        <v>151</v>
      </c>
      <c r="L283" s="9">
        <f t="shared" si="5"/>
        <v>1057</v>
      </c>
    </row>
    <row r="284" spans="1:12" ht="15" customHeight="1" x14ac:dyDescent="0.2">
      <c r="A284" s="45">
        <v>46165</v>
      </c>
      <c r="B284" s="5"/>
      <c r="F284" s="7" t="str">
        <f>IFERROR(VLOOKUP(G284, data!A:B, 2, FALSE), "Tienda")</f>
        <v>SC TIJUANA 2000</v>
      </c>
      <c r="G284" s="46">
        <v>4155</v>
      </c>
      <c r="H284" s="2">
        <v>657</v>
      </c>
      <c r="I284" s="3" t="s">
        <v>12</v>
      </c>
      <c r="J284" s="4">
        <v>10</v>
      </c>
      <c r="K284" s="8">
        <f>IFERROR(VLOOKUP(I284, data!E:F, 2, FALSE), "Precio Unidad")</f>
        <v>95</v>
      </c>
      <c r="L284" s="9">
        <f t="shared" si="5"/>
        <v>950</v>
      </c>
    </row>
    <row r="285" spans="1:12" ht="15" customHeight="1" x14ac:dyDescent="0.2">
      <c r="A285" s="45">
        <v>46165</v>
      </c>
      <c r="B285" s="5"/>
      <c r="F285" s="7" t="str">
        <f>IFERROR(VLOOKUP(G285, data!A:B, 2, FALSE), "Tienda")</f>
        <v>SC TIJUANA 2000</v>
      </c>
      <c r="G285" s="46">
        <v>4155</v>
      </c>
      <c r="H285" s="2">
        <v>657</v>
      </c>
      <c r="I285" s="3" t="s">
        <v>13</v>
      </c>
      <c r="J285" s="4">
        <v>8</v>
      </c>
      <c r="K285" s="8">
        <f>IFERROR(VLOOKUP(I285, data!E:F, 2, FALSE), "Precio Unidad")</f>
        <v>63</v>
      </c>
      <c r="L285" s="9">
        <f t="shared" si="5"/>
        <v>504</v>
      </c>
    </row>
    <row r="286" spans="1:12" ht="15" customHeight="1" x14ac:dyDescent="0.2">
      <c r="A286" s="45">
        <v>46167</v>
      </c>
      <c r="B286" s="5"/>
      <c r="F286" s="7" t="str">
        <f>IFERROR(VLOOKUP(G286, data!A:B, 2, FALSE), "Tienda")</f>
        <v>SC ENSENADA CENTRO</v>
      </c>
      <c r="G286" s="46">
        <v>2947</v>
      </c>
      <c r="H286" s="2">
        <v>658</v>
      </c>
      <c r="I286" s="3" t="s">
        <v>10</v>
      </c>
      <c r="J286" s="4">
        <v>13</v>
      </c>
      <c r="K286" s="8">
        <f>IFERROR(VLOOKUP(I286, data!E:F, 2, FALSE), "Precio Unidad")</f>
        <v>151</v>
      </c>
      <c r="L286" s="9">
        <f t="shared" si="5"/>
        <v>1963</v>
      </c>
    </row>
    <row r="287" spans="1:12" ht="15" customHeight="1" x14ac:dyDescent="0.2">
      <c r="A287" s="45">
        <v>46167</v>
      </c>
      <c r="B287" s="5"/>
      <c r="F287" s="7" t="str">
        <f>IFERROR(VLOOKUP(G287, data!A:B, 2, FALSE), "Tienda")</f>
        <v>SC ENSENADA</v>
      </c>
      <c r="G287" s="46">
        <v>3015</v>
      </c>
      <c r="H287" s="2">
        <v>659</v>
      </c>
      <c r="I287" s="3" t="s">
        <v>10</v>
      </c>
      <c r="J287" s="4">
        <v>8</v>
      </c>
      <c r="K287" s="8">
        <f>IFERROR(VLOOKUP(I287, data!E:F, 2, FALSE), "Precio Unidad")</f>
        <v>151</v>
      </c>
      <c r="L287" s="9">
        <f t="shared" si="5"/>
        <v>1208</v>
      </c>
    </row>
    <row r="288" spans="1:12" ht="15" customHeight="1" x14ac:dyDescent="0.2">
      <c r="A288" s="45">
        <v>46167</v>
      </c>
      <c r="B288" s="5"/>
      <c r="F288" s="7" t="str">
        <f>IFERROR(VLOOKUP(G288, data!A:B, 2, FALSE), "Tienda")</f>
        <v>SC ENSENADA</v>
      </c>
      <c r="G288" s="46">
        <v>3015</v>
      </c>
      <c r="H288" s="2">
        <v>659</v>
      </c>
      <c r="I288" s="3" t="s">
        <v>12</v>
      </c>
      <c r="J288" s="4">
        <v>20</v>
      </c>
      <c r="K288" s="8">
        <f>IFERROR(VLOOKUP(I288, data!E:F, 2, FALSE), "Precio Unidad")</f>
        <v>95</v>
      </c>
      <c r="L288" s="9">
        <f t="shared" si="5"/>
        <v>1900</v>
      </c>
    </row>
    <row r="289" spans="1:12" ht="15" customHeight="1" x14ac:dyDescent="0.2">
      <c r="A289" s="45">
        <v>46167</v>
      </c>
      <c r="B289" s="5"/>
      <c r="F289" s="7" t="str">
        <f>IFERROR(VLOOKUP(G289, data!A:B, 2, FALSE), "Tienda")</f>
        <v>SC ENSENADA</v>
      </c>
      <c r="G289" s="46">
        <v>3015</v>
      </c>
      <c r="H289" s="2">
        <v>659</v>
      </c>
      <c r="I289" s="3" t="s">
        <v>13</v>
      </c>
      <c r="J289" s="4">
        <v>8</v>
      </c>
      <c r="K289" s="8">
        <f>IFERROR(VLOOKUP(I289, data!E:F, 2, FALSE), "Precio Unidad")</f>
        <v>63</v>
      </c>
      <c r="L289" s="9">
        <f t="shared" si="5"/>
        <v>504</v>
      </c>
    </row>
    <row r="290" spans="1:12" ht="15" customHeight="1" x14ac:dyDescent="0.2">
      <c r="A290" s="45">
        <v>46168</v>
      </c>
      <c r="B290" s="5"/>
      <c r="F290" s="7" t="str">
        <f>IFERROR(VLOOKUP(G290, data!A:B, 2, FALSE), "Tienda")</f>
        <v>SC TECATE GARITA</v>
      </c>
      <c r="G290" s="46">
        <v>5295</v>
      </c>
      <c r="H290" s="2">
        <v>660</v>
      </c>
      <c r="I290" s="3" t="s">
        <v>6</v>
      </c>
      <c r="J290" s="4">
        <v>8</v>
      </c>
      <c r="K290" s="8">
        <f>IFERROR(VLOOKUP(I290, data!E:F, 2, FALSE), "Precio Unidad")</f>
        <v>167</v>
      </c>
      <c r="L290" s="9">
        <f t="shared" si="5"/>
        <v>1336</v>
      </c>
    </row>
    <row r="291" spans="1:12" ht="15" customHeight="1" x14ac:dyDescent="0.2">
      <c r="A291" s="45">
        <v>46168</v>
      </c>
      <c r="B291" s="5"/>
      <c r="F291" s="7" t="str">
        <f>IFERROR(VLOOKUP(G291, data!A:B, 2, FALSE), "Tienda")</f>
        <v>SC TECATE GARITA</v>
      </c>
      <c r="G291" s="46">
        <v>5295</v>
      </c>
      <c r="H291" s="2">
        <v>660</v>
      </c>
      <c r="I291" s="3" t="s">
        <v>10</v>
      </c>
      <c r="J291" s="4">
        <v>8</v>
      </c>
      <c r="K291" s="8">
        <f>IFERROR(VLOOKUP(I291, data!E:F, 2, FALSE), "Precio Unidad")</f>
        <v>151</v>
      </c>
      <c r="L291" s="9">
        <f t="shared" si="5"/>
        <v>1208</v>
      </c>
    </row>
    <row r="292" spans="1:12" ht="15" customHeight="1" x14ac:dyDescent="0.2">
      <c r="A292" s="45">
        <v>46168</v>
      </c>
      <c r="B292" s="5"/>
      <c r="F292" s="7" t="str">
        <f>IFERROR(VLOOKUP(G292, data!A:B, 2, FALSE), "Tienda")</f>
        <v>SC TECATE GARITA</v>
      </c>
      <c r="G292" s="46">
        <v>5295</v>
      </c>
      <c r="H292" s="2">
        <v>660</v>
      </c>
      <c r="I292" s="3" t="s">
        <v>12</v>
      </c>
      <c r="J292" s="4">
        <v>20</v>
      </c>
      <c r="K292" s="8">
        <f>IFERROR(VLOOKUP(I292, data!E:F, 2, FALSE), "Precio Unidad")</f>
        <v>95</v>
      </c>
      <c r="L292" s="9">
        <f t="shared" si="5"/>
        <v>1900</v>
      </c>
    </row>
    <row r="293" spans="1:12" ht="15" customHeight="1" x14ac:dyDescent="0.2">
      <c r="A293" s="45">
        <v>46168</v>
      </c>
      <c r="B293" s="5"/>
      <c r="F293" s="7" t="str">
        <f>IFERROR(VLOOKUP(G293, data!A:B, 2, FALSE), "Tienda")</f>
        <v>SC TECATE GARITA</v>
      </c>
      <c r="G293" s="46">
        <v>5295</v>
      </c>
      <c r="H293" s="2">
        <v>660</v>
      </c>
      <c r="I293" s="3" t="s">
        <v>13</v>
      </c>
      <c r="J293" s="4">
        <v>8</v>
      </c>
      <c r="K293" s="8">
        <f>IFERROR(VLOOKUP(I293, data!E:F, 2, FALSE), "Precio Unidad")</f>
        <v>63</v>
      </c>
      <c r="L293" s="9">
        <f t="shared" si="5"/>
        <v>504</v>
      </c>
    </row>
    <row r="294" spans="1:12" ht="15" customHeight="1" x14ac:dyDescent="0.2">
      <c r="A294" s="45">
        <v>46168</v>
      </c>
      <c r="B294" s="5"/>
      <c r="F294" s="7" t="str">
        <f>IFERROR(VLOOKUP(G294, data!A:B, 2, FALSE), "Tienda")</f>
        <v>SC NUEVO MEXICALI</v>
      </c>
      <c r="G294" s="46">
        <v>5041</v>
      </c>
      <c r="H294" s="2">
        <v>661</v>
      </c>
      <c r="I294" s="3" t="s">
        <v>6</v>
      </c>
      <c r="J294" s="4">
        <v>7</v>
      </c>
      <c r="K294" s="8">
        <f>IFERROR(VLOOKUP(I294, data!E:F, 2, FALSE), "Precio Unidad")</f>
        <v>167</v>
      </c>
      <c r="L294" s="9">
        <f t="shared" si="5"/>
        <v>1169</v>
      </c>
    </row>
    <row r="295" spans="1:12" ht="15" customHeight="1" x14ac:dyDescent="0.2">
      <c r="A295" s="45">
        <v>46168</v>
      </c>
      <c r="B295" s="5"/>
      <c r="F295" s="7" t="str">
        <f>IFERROR(VLOOKUP(G295, data!A:B, 2, FALSE), "Tienda")</f>
        <v>SC NUEVO MEXICALI</v>
      </c>
      <c r="G295" s="46">
        <v>5041</v>
      </c>
      <c r="H295" s="2">
        <v>661</v>
      </c>
      <c r="I295" s="3" t="s">
        <v>7</v>
      </c>
      <c r="J295" s="4">
        <v>10</v>
      </c>
      <c r="K295" s="8">
        <f>IFERROR(VLOOKUP(I295, data!E:F, 2, FALSE), "Precio Unidad")</f>
        <v>113</v>
      </c>
      <c r="L295" s="9">
        <f t="shared" si="5"/>
        <v>1130</v>
      </c>
    </row>
    <row r="296" spans="1:12" ht="15" customHeight="1" x14ac:dyDescent="0.2">
      <c r="A296" s="45">
        <v>46168</v>
      </c>
      <c r="B296" s="5"/>
      <c r="F296" s="7" t="str">
        <f>IFERROR(VLOOKUP(G296, data!A:B, 2, FALSE), "Tienda")</f>
        <v>SC NUEVO MEXICALI</v>
      </c>
      <c r="G296" s="46">
        <v>5041</v>
      </c>
      <c r="H296" s="2">
        <v>661</v>
      </c>
      <c r="I296" s="3" t="s">
        <v>10</v>
      </c>
      <c r="J296" s="4">
        <v>16</v>
      </c>
      <c r="K296" s="8">
        <f>IFERROR(VLOOKUP(I296, data!E:F, 2, FALSE), "Precio Unidad")</f>
        <v>151</v>
      </c>
      <c r="L296" s="9">
        <f t="shared" si="5"/>
        <v>2416</v>
      </c>
    </row>
    <row r="297" spans="1:12" ht="15" customHeight="1" x14ac:dyDescent="0.2">
      <c r="A297" s="45">
        <v>46168</v>
      </c>
      <c r="B297" s="5"/>
      <c r="F297" s="7" t="str">
        <f>IFERROR(VLOOKUP(G297, data!A:B, 2, FALSE), "Tienda")</f>
        <v>SC NUEVO MEXICALI</v>
      </c>
      <c r="G297" s="46">
        <v>5041</v>
      </c>
      <c r="H297" s="2">
        <v>661</v>
      </c>
      <c r="I297" s="3" t="s">
        <v>11</v>
      </c>
      <c r="J297" s="4">
        <v>32</v>
      </c>
      <c r="K297" s="8">
        <f>IFERROR(VLOOKUP(I297, data!E:F, 2, FALSE), "Precio Unidad")</f>
        <v>177</v>
      </c>
      <c r="L297" s="9">
        <f t="shared" si="5"/>
        <v>5664</v>
      </c>
    </row>
    <row r="298" spans="1:12" ht="15" customHeight="1" x14ac:dyDescent="0.2">
      <c r="A298" s="45">
        <v>46168</v>
      </c>
      <c r="B298" s="5"/>
      <c r="F298" s="7" t="str">
        <f>IFERROR(VLOOKUP(G298, data!A:B, 2, FALSE), "Tienda")</f>
        <v>SC NUEVO MEXICALI</v>
      </c>
      <c r="G298" s="46">
        <v>5041</v>
      </c>
      <c r="H298" s="2">
        <v>661</v>
      </c>
      <c r="I298" s="3" t="s">
        <v>12</v>
      </c>
      <c r="J298" s="4">
        <v>40</v>
      </c>
      <c r="K298" s="8">
        <f>IFERROR(VLOOKUP(I298, data!E:F, 2, FALSE), "Precio Unidad")</f>
        <v>95</v>
      </c>
      <c r="L298" s="9">
        <f t="shared" si="5"/>
        <v>3800</v>
      </c>
    </row>
    <row r="299" spans="1:12" ht="15" customHeight="1" x14ac:dyDescent="0.2">
      <c r="A299" s="45">
        <v>46168</v>
      </c>
      <c r="B299" s="5"/>
      <c r="F299" s="7" t="str">
        <f>IFERROR(VLOOKUP(G299, data!A:B, 2, FALSE), "Tienda")</f>
        <v>SC NUEVO MEXICALI</v>
      </c>
      <c r="G299" s="46">
        <v>5041</v>
      </c>
      <c r="H299" s="2">
        <v>661</v>
      </c>
      <c r="I299" s="3" t="s">
        <v>13</v>
      </c>
      <c r="J299" s="4">
        <v>16</v>
      </c>
      <c r="K299" s="8">
        <f>IFERROR(VLOOKUP(I299, data!E:F, 2, FALSE), "Precio Unidad")</f>
        <v>63</v>
      </c>
      <c r="L299" s="9">
        <f t="shared" si="5"/>
        <v>1008</v>
      </c>
    </row>
    <row r="300" spans="1:12" ht="15" customHeight="1" x14ac:dyDescent="0.2">
      <c r="A300" s="45">
        <v>46168</v>
      </c>
      <c r="B300" s="5"/>
      <c r="F300" s="7" t="str">
        <f>IFERROR(VLOOKUP(G300, data!A:B, 2, FALSE), "Tienda")</f>
        <v>SC GALERIAS DEL VALLE</v>
      </c>
      <c r="G300" s="46">
        <v>4026</v>
      </c>
      <c r="H300" s="2">
        <v>662</v>
      </c>
      <c r="I300" s="3" t="s">
        <v>6</v>
      </c>
      <c r="J300" s="4">
        <v>8</v>
      </c>
      <c r="K300" s="8">
        <f>IFERROR(VLOOKUP(I300, data!E:F, 2, FALSE), "Precio Unidad")</f>
        <v>167</v>
      </c>
      <c r="L300" s="9">
        <f t="shared" si="5"/>
        <v>1336</v>
      </c>
    </row>
    <row r="301" spans="1:12" ht="15" customHeight="1" x14ac:dyDescent="0.2">
      <c r="A301" s="45">
        <v>46168</v>
      </c>
      <c r="B301" s="5"/>
      <c r="F301" s="7" t="str">
        <f>IFERROR(VLOOKUP(G301, data!A:B, 2, FALSE), "Tienda")</f>
        <v>SC GALERIAS DEL VALLE</v>
      </c>
      <c r="G301" s="46">
        <v>4026</v>
      </c>
      <c r="H301" s="2">
        <v>662</v>
      </c>
      <c r="I301" s="3" t="s">
        <v>10</v>
      </c>
      <c r="J301" s="4">
        <v>16</v>
      </c>
      <c r="K301" s="8">
        <f>IFERROR(VLOOKUP(I301, data!E:F, 2, FALSE), "Precio Unidad")</f>
        <v>151</v>
      </c>
      <c r="L301" s="9">
        <f t="shared" si="5"/>
        <v>2416</v>
      </c>
    </row>
    <row r="302" spans="1:12" ht="15" customHeight="1" x14ac:dyDescent="0.2">
      <c r="A302" s="45">
        <v>46168</v>
      </c>
      <c r="B302" s="5"/>
      <c r="F302" s="7" t="str">
        <f>IFERROR(VLOOKUP(G302, data!A:B, 2, FALSE), "Tienda")</f>
        <v>SC GALERIAS DEL VALLE</v>
      </c>
      <c r="G302" s="46">
        <v>4026</v>
      </c>
      <c r="H302" s="2">
        <v>662</v>
      </c>
      <c r="I302" s="3" t="s">
        <v>11</v>
      </c>
      <c r="J302" s="4">
        <v>8</v>
      </c>
      <c r="K302" s="8">
        <f>IFERROR(VLOOKUP(I302, data!E:F, 2, FALSE), "Precio Unidad")</f>
        <v>177</v>
      </c>
      <c r="L302" s="9">
        <f t="shared" si="5"/>
        <v>1416</v>
      </c>
    </row>
    <row r="303" spans="1:12" ht="15" customHeight="1" x14ac:dyDescent="0.2">
      <c r="A303" s="45">
        <v>46168</v>
      </c>
      <c r="B303" s="5"/>
      <c r="F303" s="7" t="str">
        <f>IFERROR(VLOOKUP(G303, data!A:B, 2, FALSE), "Tienda")</f>
        <v>SC GALERIAS DEL VALLE</v>
      </c>
      <c r="G303" s="46">
        <v>4026</v>
      </c>
      <c r="H303" s="2">
        <v>662</v>
      </c>
      <c r="I303" s="3" t="s">
        <v>12</v>
      </c>
      <c r="J303" s="4">
        <v>30</v>
      </c>
      <c r="K303" s="8">
        <f>IFERROR(VLOOKUP(I303, data!E:F, 2, FALSE), "Precio Unidad")</f>
        <v>95</v>
      </c>
      <c r="L303" s="9">
        <f t="shared" si="5"/>
        <v>2850</v>
      </c>
    </row>
    <row r="304" spans="1:12" ht="15" customHeight="1" x14ac:dyDescent="0.2">
      <c r="A304" s="45">
        <v>46168</v>
      </c>
      <c r="B304" s="5"/>
      <c r="F304" s="7" t="str">
        <f>IFERROR(VLOOKUP(G304, data!A:B, 2, FALSE), "Tienda")</f>
        <v>SC GALERIAS DEL VALLE</v>
      </c>
      <c r="G304" s="46">
        <v>4026</v>
      </c>
      <c r="H304" s="2">
        <v>662</v>
      </c>
      <c r="I304" s="3" t="s">
        <v>13</v>
      </c>
      <c r="J304" s="4">
        <v>16</v>
      </c>
      <c r="K304" s="8">
        <f>IFERROR(VLOOKUP(I304, data!E:F, 2, FALSE), "Precio Unidad")</f>
        <v>63</v>
      </c>
      <c r="L304" s="9">
        <f t="shared" si="5"/>
        <v>1008</v>
      </c>
    </row>
    <row r="305" spans="1:12" ht="15" customHeight="1" x14ac:dyDescent="0.2">
      <c r="A305" s="45">
        <v>46168</v>
      </c>
      <c r="B305" s="5"/>
      <c r="F305" s="7" t="str">
        <f>IFERROR(VLOOKUP(G305, data!A:B, 2, FALSE), "Tienda")</f>
        <v>SC MEXICALI</v>
      </c>
      <c r="G305" s="46">
        <v>2304</v>
      </c>
      <c r="H305" s="2">
        <v>663</v>
      </c>
      <c r="I305" s="3" t="s">
        <v>6</v>
      </c>
      <c r="J305" s="4">
        <v>8</v>
      </c>
      <c r="K305" s="8">
        <f>IFERROR(VLOOKUP(I305, data!E:F, 2, FALSE), "Precio Unidad")</f>
        <v>167</v>
      </c>
      <c r="L305" s="9">
        <f t="shared" si="5"/>
        <v>1336</v>
      </c>
    </row>
    <row r="306" spans="1:12" ht="15" customHeight="1" x14ac:dyDescent="0.2">
      <c r="A306" s="45">
        <v>46168</v>
      </c>
      <c r="B306" s="5"/>
      <c r="F306" s="7" t="str">
        <f>IFERROR(VLOOKUP(G306, data!A:B, 2, FALSE), "Tienda")</f>
        <v>SC MEXICALI</v>
      </c>
      <c r="G306" s="46">
        <v>2304</v>
      </c>
      <c r="H306" s="2">
        <v>663</v>
      </c>
      <c r="I306" s="3" t="s">
        <v>7</v>
      </c>
      <c r="J306" s="4">
        <v>10</v>
      </c>
      <c r="K306" s="8">
        <f>IFERROR(VLOOKUP(I306, data!E:F, 2, FALSE), "Precio Unidad")</f>
        <v>113</v>
      </c>
      <c r="L306" s="9">
        <f t="shared" si="5"/>
        <v>1130</v>
      </c>
    </row>
    <row r="307" spans="1:12" ht="15" customHeight="1" x14ac:dyDescent="0.2">
      <c r="A307" s="45">
        <v>46168</v>
      </c>
      <c r="B307" s="5"/>
      <c r="F307" s="7" t="str">
        <f>IFERROR(VLOOKUP(G307, data!A:B, 2, FALSE), "Tienda")</f>
        <v>SC MEXICALI</v>
      </c>
      <c r="G307" s="46">
        <v>2304</v>
      </c>
      <c r="H307" s="2">
        <v>663</v>
      </c>
      <c r="I307" s="3" t="s">
        <v>10</v>
      </c>
      <c r="J307" s="4">
        <v>16</v>
      </c>
      <c r="K307" s="8">
        <f>IFERROR(VLOOKUP(I307, data!E:F, 2, FALSE), "Precio Unidad")</f>
        <v>151</v>
      </c>
      <c r="L307" s="9">
        <f t="shared" si="5"/>
        <v>2416</v>
      </c>
    </row>
    <row r="308" spans="1:12" ht="15" customHeight="1" x14ac:dyDescent="0.2">
      <c r="A308" s="45">
        <v>46168</v>
      </c>
      <c r="B308" s="5"/>
      <c r="F308" s="7" t="str">
        <f>IFERROR(VLOOKUP(G308, data!A:B, 2, FALSE), "Tienda")</f>
        <v>SC MEXICALI</v>
      </c>
      <c r="G308" s="46">
        <v>2304</v>
      </c>
      <c r="H308" s="2">
        <v>663</v>
      </c>
      <c r="I308" s="3" t="s">
        <v>11</v>
      </c>
      <c r="J308" s="4">
        <v>16</v>
      </c>
      <c r="K308" s="8">
        <f>IFERROR(VLOOKUP(I308, data!E:F, 2, FALSE), "Precio Unidad")</f>
        <v>177</v>
      </c>
      <c r="L308" s="9">
        <f t="shared" si="5"/>
        <v>2832</v>
      </c>
    </row>
    <row r="309" spans="1:12" ht="15" customHeight="1" x14ac:dyDescent="0.2">
      <c r="A309" s="45">
        <v>46168</v>
      </c>
      <c r="B309" s="5"/>
      <c r="F309" s="7" t="str">
        <f>IFERROR(VLOOKUP(G309, data!A:B, 2, FALSE), "Tienda")</f>
        <v>SC MEXICALI</v>
      </c>
      <c r="G309" s="46">
        <v>2304</v>
      </c>
      <c r="H309" s="2">
        <v>663</v>
      </c>
      <c r="I309" s="3" t="s">
        <v>12</v>
      </c>
      <c r="J309" s="4">
        <v>30</v>
      </c>
      <c r="K309" s="8">
        <f>IFERROR(VLOOKUP(I309, data!E:F, 2, FALSE), "Precio Unidad")</f>
        <v>95</v>
      </c>
      <c r="L309" s="9">
        <f t="shared" si="5"/>
        <v>2850</v>
      </c>
    </row>
    <row r="310" spans="1:12" ht="15" customHeight="1" x14ac:dyDescent="0.2">
      <c r="A310" s="45">
        <v>46168</v>
      </c>
      <c r="B310" s="5"/>
      <c r="F310" s="7" t="str">
        <f>IFERROR(VLOOKUP(G310, data!A:B, 2, FALSE), "Tienda")</f>
        <v>SC MEXICALI</v>
      </c>
      <c r="G310" s="46">
        <v>2304</v>
      </c>
      <c r="H310" s="2">
        <v>663</v>
      </c>
      <c r="I310" s="3" t="s">
        <v>13</v>
      </c>
      <c r="J310" s="4">
        <v>24</v>
      </c>
      <c r="K310" s="8">
        <f>IFERROR(VLOOKUP(I310, data!E:F, 2, FALSE), "Precio Unidad")</f>
        <v>63</v>
      </c>
      <c r="L310" s="9">
        <f t="shared" si="5"/>
        <v>1512</v>
      </c>
    </row>
    <row r="311" spans="1:12" ht="15" customHeight="1" x14ac:dyDescent="0.2">
      <c r="A311" s="45">
        <v>46168</v>
      </c>
      <c r="B311" s="5"/>
      <c r="F311" s="7" t="str">
        <f>IFERROR(VLOOKUP(G311, data!A:B, 2, FALSE), "Tienda")</f>
        <v>SC MEXICALI NOVENA</v>
      </c>
      <c r="G311" s="46">
        <v>1617</v>
      </c>
      <c r="H311" s="2">
        <v>664</v>
      </c>
      <c r="I311" s="3" t="s">
        <v>6</v>
      </c>
      <c r="J311" s="4">
        <v>16</v>
      </c>
      <c r="K311" s="8">
        <f>IFERROR(VLOOKUP(I311, data!E:F, 2, FALSE), "Precio Unidad")</f>
        <v>167</v>
      </c>
      <c r="L311" s="9">
        <f t="shared" si="5"/>
        <v>2672</v>
      </c>
    </row>
    <row r="312" spans="1:12" ht="15" customHeight="1" x14ac:dyDescent="0.2">
      <c r="A312" s="45">
        <v>46168</v>
      </c>
      <c r="B312" s="5"/>
      <c r="F312" s="7" t="str">
        <f>IFERROR(VLOOKUP(G312, data!A:B, 2, FALSE), "Tienda")</f>
        <v>SC MEXICALI NOVENA</v>
      </c>
      <c r="G312" s="46">
        <v>1617</v>
      </c>
      <c r="H312" s="2">
        <v>664</v>
      </c>
      <c r="I312" s="3" t="s">
        <v>7</v>
      </c>
      <c r="J312" s="4">
        <v>10</v>
      </c>
      <c r="K312" s="8">
        <f>IFERROR(VLOOKUP(I312, data!E:F, 2, FALSE), "Precio Unidad")</f>
        <v>113</v>
      </c>
      <c r="L312" s="9">
        <f t="shared" si="5"/>
        <v>1130</v>
      </c>
    </row>
    <row r="313" spans="1:12" ht="15" customHeight="1" x14ac:dyDescent="0.2">
      <c r="A313" s="45">
        <v>46168</v>
      </c>
      <c r="B313" s="5"/>
      <c r="F313" s="7" t="str">
        <f>IFERROR(VLOOKUP(G313, data!A:B, 2, FALSE), "Tienda")</f>
        <v>SC MEXICALI NOVENA</v>
      </c>
      <c r="G313" s="46">
        <v>1617</v>
      </c>
      <c r="H313" s="2">
        <v>664</v>
      </c>
      <c r="I313" s="3" t="s">
        <v>10</v>
      </c>
      <c r="J313" s="4">
        <v>24</v>
      </c>
      <c r="K313" s="8">
        <f>IFERROR(VLOOKUP(I313, data!E:F, 2, FALSE), "Precio Unidad")</f>
        <v>151</v>
      </c>
      <c r="L313" s="9">
        <f t="shared" si="5"/>
        <v>3624</v>
      </c>
    </row>
    <row r="314" spans="1:12" ht="15" customHeight="1" x14ac:dyDescent="0.2">
      <c r="A314" s="45">
        <v>46168</v>
      </c>
      <c r="B314" s="5"/>
      <c r="F314" s="7" t="str">
        <f>IFERROR(VLOOKUP(G314, data!A:B, 2, FALSE), "Tienda")</f>
        <v>SC MEXICALI NOVENA</v>
      </c>
      <c r="G314" s="46">
        <v>1617</v>
      </c>
      <c r="H314" s="2">
        <v>664</v>
      </c>
      <c r="I314" s="3" t="s">
        <v>11</v>
      </c>
      <c r="J314" s="4">
        <v>32</v>
      </c>
      <c r="K314" s="8">
        <f>IFERROR(VLOOKUP(I314, data!E:F, 2, FALSE), "Precio Unidad")</f>
        <v>177</v>
      </c>
      <c r="L314" s="9">
        <f t="shared" si="5"/>
        <v>5664</v>
      </c>
    </row>
    <row r="315" spans="1:12" ht="15" customHeight="1" x14ac:dyDescent="0.2">
      <c r="A315" s="45">
        <v>46168</v>
      </c>
      <c r="B315" s="5"/>
      <c r="F315" s="7" t="str">
        <f>IFERROR(VLOOKUP(G315, data!A:B, 2, FALSE), "Tienda")</f>
        <v>SC MEXICALI NOVENA</v>
      </c>
      <c r="G315" s="46">
        <v>1617</v>
      </c>
      <c r="H315" s="2">
        <v>664</v>
      </c>
      <c r="I315" s="3" t="s">
        <v>12</v>
      </c>
      <c r="J315" s="4">
        <v>40</v>
      </c>
      <c r="K315" s="8">
        <f>IFERROR(VLOOKUP(I315, data!E:F, 2, FALSE), "Precio Unidad")</f>
        <v>95</v>
      </c>
      <c r="L315" s="9">
        <f t="shared" si="5"/>
        <v>3800</v>
      </c>
    </row>
    <row r="316" spans="1:12" ht="15" customHeight="1" x14ac:dyDescent="0.2">
      <c r="A316" s="45">
        <v>46168</v>
      </c>
      <c r="B316" s="5"/>
      <c r="F316" s="7" t="str">
        <f>IFERROR(VLOOKUP(G316, data!A:B, 2, FALSE), "Tienda")</f>
        <v>SC MEXICALI NOVENA</v>
      </c>
      <c r="G316" s="46">
        <v>1617</v>
      </c>
      <c r="H316" s="2">
        <v>664</v>
      </c>
      <c r="I316" s="3" t="s">
        <v>13</v>
      </c>
      <c r="J316" s="4">
        <v>32</v>
      </c>
      <c r="K316" s="8">
        <f>IFERROR(VLOOKUP(I316, data!E:F, 2, FALSE), "Precio Unidad")</f>
        <v>63</v>
      </c>
      <c r="L316" s="9">
        <f t="shared" si="5"/>
        <v>2016</v>
      </c>
    </row>
    <row r="317" spans="1:12" ht="15" customHeight="1" x14ac:dyDescent="0.2">
      <c r="A317" s="45">
        <v>46168</v>
      </c>
      <c r="B317" s="5"/>
      <c r="F317" s="7" t="str">
        <f>IFERROR(VLOOKUP(G317, data!A:B, 2, FALSE), "Tienda")</f>
        <v>SC PLAZA SAN PEDRO</v>
      </c>
      <c r="G317" s="46">
        <v>1140</v>
      </c>
      <c r="H317" s="2">
        <v>665</v>
      </c>
      <c r="I317" s="3" t="s">
        <v>6</v>
      </c>
      <c r="J317" s="4">
        <v>8</v>
      </c>
      <c r="K317" s="8">
        <f>IFERROR(VLOOKUP(I317, data!E:F, 2, FALSE), "Precio Unidad")</f>
        <v>167</v>
      </c>
      <c r="L317" s="9">
        <f t="shared" si="5"/>
        <v>1336</v>
      </c>
    </row>
    <row r="318" spans="1:12" ht="15" customHeight="1" x14ac:dyDescent="0.2">
      <c r="A318" s="45">
        <v>46168</v>
      </c>
      <c r="B318" s="5"/>
      <c r="F318" s="7" t="str">
        <f>IFERROR(VLOOKUP(G318, data!A:B, 2, FALSE), "Tienda")</f>
        <v>SC PLAZA SAN PEDRO</v>
      </c>
      <c r="G318" s="46">
        <v>1140</v>
      </c>
      <c r="H318" s="2">
        <v>665</v>
      </c>
      <c r="I318" s="3" t="s">
        <v>7</v>
      </c>
      <c r="J318" s="4">
        <v>10</v>
      </c>
      <c r="K318" s="8">
        <f>IFERROR(VLOOKUP(I318, data!E:F, 2, FALSE), "Precio Unidad")</f>
        <v>113</v>
      </c>
      <c r="L318" s="9">
        <f t="shared" si="5"/>
        <v>1130</v>
      </c>
    </row>
    <row r="319" spans="1:12" ht="15" customHeight="1" x14ac:dyDescent="0.2">
      <c r="A319" s="45">
        <v>46168</v>
      </c>
      <c r="B319" s="5"/>
      <c r="F319" s="7" t="str">
        <f>IFERROR(VLOOKUP(G319, data!A:B, 2, FALSE), "Tienda")</f>
        <v>SC PLAZA SAN PEDRO</v>
      </c>
      <c r="G319" s="46">
        <v>1140</v>
      </c>
      <c r="H319" s="2">
        <v>665</v>
      </c>
      <c r="I319" s="3" t="s">
        <v>10</v>
      </c>
      <c r="J319" s="4">
        <v>24</v>
      </c>
      <c r="K319" s="8">
        <f>IFERROR(VLOOKUP(I319, data!E:F, 2, FALSE), "Precio Unidad")</f>
        <v>151</v>
      </c>
      <c r="L319" s="9">
        <f t="shared" si="5"/>
        <v>3624</v>
      </c>
    </row>
    <row r="320" spans="1:12" ht="15" customHeight="1" x14ac:dyDescent="0.2">
      <c r="A320" s="45">
        <v>46168</v>
      </c>
      <c r="B320" s="5"/>
      <c r="F320" s="7" t="str">
        <f>IFERROR(VLOOKUP(G320, data!A:B, 2, FALSE), "Tienda")</f>
        <v>SC PLAZA SAN PEDRO</v>
      </c>
      <c r="G320" s="46">
        <v>1140</v>
      </c>
      <c r="H320" s="2">
        <v>665</v>
      </c>
      <c r="I320" s="3" t="s">
        <v>11</v>
      </c>
      <c r="J320" s="4">
        <v>16</v>
      </c>
      <c r="K320" s="8">
        <f>IFERROR(VLOOKUP(I320, data!E:F, 2, FALSE), "Precio Unidad")</f>
        <v>177</v>
      </c>
      <c r="L320" s="9">
        <f t="shared" si="5"/>
        <v>2832</v>
      </c>
    </row>
    <row r="321" spans="1:12" ht="15" customHeight="1" x14ac:dyDescent="0.2">
      <c r="A321" s="45">
        <v>46168</v>
      </c>
      <c r="B321" s="5"/>
      <c r="F321" s="7" t="str">
        <f>IFERROR(VLOOKUP(G321, data!A:B, 2, FALSE), "Tienda")</f>
        <v>SC PLAZA SAN PEDRO</v>
      </c>
      <c r="G321" s="46">
        <v>1140</v>
      </c>
      <c r="H321" s="2">
        <v>665</v>
      </c>
      <c r="I321" s="3" t="s">
        <v>12</v>
      </c>
      <c r="J321" s="4">
        <v>30</v>
      </c>
      <c r="K321" s="8">
        <f>IFERROR(VLOOKUP(I321, data!E:F, 2, FALSE), "Precio Unidad")</f>
        <v>95</v>
      </c>
      <c r="L321" s="9">
        <f t="shared" si="5"/>
        <v>2850</v>
      </c>
    </row>
    <row r="322" spans="1:12" ht="15" customHeight="1" x14ac:dyDescent="0.2">
      <c r="A322" s="45">
        <v>46168</v>
      </c>
      <c r="B322" s="5"/>
      <c r="F322" s="7" t="str">
        <f>IFERROR(VLOOKUP(G322, data!A:B, 2, FALSE), "Tienda")</f>
        <v>SC PLAZA SAN PEDRO</v>
      </c>
      <c r="G322" s="46">
        <v>1140</v>
      </c>
      <c r="H322" s="2">
        <v>665</v>
      </c>
      <c r="I322" s="3" t="s">
        <v>13</v>
      </c>
      <c r="J322" s="4">
        <v>8</v>
      </c>
      <c r="K322" s="8">
        <f>IFERROR(VLOOKUP(I322, data!E:F, 2, FALSE), "Precio Unidad")</f>
        <v>63</v>
      </c>
      <c r="L322" s="9">
        <f t="shared" si="5"/>
        <v>504</v>
      </c>
    </row>
    <row r="323" spans="1:12" ht="15" customHeight="1" x14ac:dyDescent="0.2">
      <c r="A323" s="14">
        <v>46169</v>
      </c>
      <c r="B323" s="5"/>
      <c r="F323" s="7" t="str">
        <f>IFERROR(VLOOKUP(G323, data!A:B, 2, FALSE), "Tienda")</f>
        <v>SC TIJUANA 2000</v>
      </c>
      <c r="G323" s="46">
        <v>4155</v>
      </c>
      <c r="H323" s="48">
        <v>666</v>
      </c>
      <c r="I323" s="47" t="s">
        <v>10</v>
      </c>
      <c r="J323" s="49">
        <v>8</v>
      </c>
      <c r="K323" s="8">
        <f>IFERROR(VLOOKUP(I323, data!E:F, 2, FALSE), "Precio Unidad")</f>
        <v>151</v>
      </c>
      <c r="L323" s="9">
        <f t="shared" si="5"/>
        <v>1208</v>
      </c>
    </row>
    <row r="324" spans="1:12" ht="15" customHeight="1" x14ac:dyDescent="0.2">
      <c r="A324" s="14">
        <v>46169</v>
      </c>
      <c r="B324" s="5"/>
      <c r="F324" s="7" t="str">
        <f>IFERROR(VLOOKUP(G324, data!A:B, 2, FALSE), "Tienda")</f>
        <v>SC TIJUANA 2000</v>
      </c>
      <c r="G324" s="46">
        <v>4155</v>
      </c>
      <c r="H324" s="48">
        <v>666</v>
      </c>
      <c r="I324" s="47" t="s">
        <v>12</v>
      </c>
      <c r="J324" s="49">
        <v>10</v>
      </c>
      <c r="K324" s="8">
        <f>IFERROR(VLOOKUP(I324, data!E:F, 2, FALSE), "Precio Unidad")</f>
        <v>95</v>
      </c>
      <c r="L324" s="9">
        <f t="shared" si="5"/>
        <v>950</v>
      </c>
    </row>
    <row r="325" spans="1:12" ht="15" customHeight="1" x14ac:dyDescent="0.2">
      <c r="A325" s="14">
        <v>46169</v>
      </c>
      <c r="B325" s="5"/>
      <c r="F325" s="7" t="str">
        <f>IFERROR(VLOOKUP(G325, data!A:B, 2, FALSE), "Tienda")</f>
        <v>SC TIJUANA 2000</v>
      </c>
      <c r="G325" s="46">
        <v>4155</v>
      </c>
      <c r="H325" s="48">
        <v>666</v>
      </c>
      <c r="I325" s="47" t="s">
        <v>13</v>
      </c>
      <c r="J325" s="49">
        <v>8</v>
      </c>
      <c r="K325" s="8">
        <f>IFERROR(VLOOKUP(I325, data!E:F, 2, FALSE), "Precio Unidad")</f>
        <v>63</v>
      </c>
      <c r="L325" s="9">
        <f t="shared" si="5"/>
        <v>504</v>
      </c>
    </row>
    <row r="326" spans="1:12" ht="15" customHeight="1" x14ac:dyDescent="0.2">
      <c r="A326" s="14">
        <v>46169</v>
      </c>
      <c r="B326" s="5"/>
      <c r="F326" s="7" t="str">
        <f>IFERROR(VLOOKUP(G326, data!A:B, 2, FALSE), "Tienda")</f>
        <v>SC TIJUANA HIPODROMO</v>
      </c>
      <c r="G326" s="46">
        <v>4011</v>
      </c>
      <c r="H326" s="48">
        <v>667</v>
      </c>
      <c r="I326" s="47" t="s">
        <v>10</v>
      </c>
      <c r="J326" s="49">
        <v>16</v>
      </c>
      <c r="K326" s="8">
        <f>IFERROR(VLOOKUP(I326, data!E:F, 2, FALSE), "Precio Unidad")</f>
        <v>151</v>
      </c>
      <c r="L326" s="9">
        <f t="shared" si="5"/>
        <v>2416</v>
      </c>
    </row>
    <row r="327" spans="1:12" ht="15" customHeight="1" x14ac:dyDescent="0.2">
      <c r="A327" s="14">
        <v>46169</v>
      </c>
      <c r="B327" s="5"/>
      <c r="F327" s="7" t="str">
        <f>IFERROR(VLOOKUP(G327, data!A:B, 2, FALSE), "Tienda")</f>
        <v>SC TIJUANA HIPODROMO</v>
      </c>
      <c r="G327" s="46">
        <v>4011</v>
      </c>
      <c r="H327" s="48">
        <v>667</v>
      </c>
      <c r="I327" s="47" t="s">
        <v>12</v>
      </c>
      <c r="J327" s="49">
        <v>10</v>
      </c>
      <c r="K327" s="8">
        <f>IFERROR(VLOOKUP(I327, data!E:F, 2, FALSE), "Precio Unidad")</f>
        <v>95</v>
      </c>
      <c r="L327" s="9">
        <f t="shared" si="5"/>
        <v>950</v>
      </c>
    </row>
    <row r="328" spans="1:12" ht="15" customHeight="1" x14ac:dyDescent="0.2">
      <c r="A328" s="14">
        <v>46169</v>
      </c>
      <c r="B328" s="5"/>
      <c r="F328" s="7" t="str">
        <f>IFERROR(VLOOKUP(G328, data!A:B, 2, FALSE), "Tienda")</f>
        <v>SC TIJUANA HIPODROMO</v>
      </c>
      <c r="G328" s="46">
        <v>4011</v>
      </c>
      <c r="H328" s="48">
        <v>667</v>
      </c>
      <c r="I328" s="47" t="s">
        <v>13</v>
      </c>
      <c r="J328" s="49">
        <v>16</v>
      </c>
      <c r="K328" s="8">
        <f>IFERROR(VLOOKUP(I328, data!E:F, 2, FALSE), "Precio Unidad")</f>
        <v>63</v>
      </c>
      <c r="L328" s="9">
        <f t="shared" si="5"/>
        <v>1008</v>
      </c>
    </row>
    <row r="329" spans="1:12" ht="15" customHeight="1" x14ac:dyDescent="0.2">
      <c r="A329" s="14">
        <v>46169</v>
      </c>
      <c r="B329" s="5"/>
      <c r="F329" s="7" t="str">
        <f>IFERROR(VLOOKUP(G329, data!A:B, 2, FALSE), "Tienda")</f>
        <v>SC DIAZ ORDAZ</v>
      </c>
      <c r="G329" s="46">
        <v>3664</v>
      </c>
      <c r="H329" s="48">
        <v>668</v>
      </c>
      <c r="I329" s="47" t="s">
        <v>12</v>
      </c>
      <c r="J329" s="49">
        <v>20</v>
      </c>
      <c r="K329" s="8">
        <f>IFERROR(VLOOKUP(I329, data!E:F, 2, FALSE), "Precio Unidad")</f>
        <v>95</v>
      </c>
      <c r="L329" s="9">
        <f t="shared" si="5"/>
        <v>1900</v>
      </c>
    </row>
    <row r="330" spans="1:12" ht="15" customHeight="1" x14ac:dyDescent="0.2">
      <c r="A330" s="14">
        <v>46169</v>
      </c>
      <c r="B330" s="5"/>
      <c r="F330" s="7" t="str">
        <f>IFERROR(VLOOKUP(G330, data!A:B, 2, FALSE), "Tienda")</f>
        <v>SC DIAZ ORDAZ</v>
      </c>
      <c r="G330" s="46">
        <v>3664</v>
      </c>
      <c r="H330" s="48">
        <v>668</v>
      </c>
      <c r="I330" s="47" t="s">
        <v>13</v>
      </c>
      <c r="J330" s="49">
        <v>8</v>
      </c>
      <c r="K330" s="8">
        <f>IFERROR(VLOOKUP(I330, data!E:F, 2, FALSE), "Precio Unidad")</f>
        <v>63</v>
      </c>
      <c r="L330" s="9">
        <f t="shared" si="5"/>
        <v>504</v>
      </c>
    </row>
    <row r="331" spans="1:12" ht="15" customHeight="1" x14ac:dyDescent="0.2">
      <c r="A331" s="14">
        <v>46169</v>
      </c>
      <c r="B331" s="5"/>
      <c r="F331" s="7" t="str">
        <f>IFERROR(VLOOKUP(G331, data!A:B, 2, FALSE), "Tienda")</f>
        <v>SC MACROPLAZA INSURGENTES</v>
      </c>
      <c r="G331" s="46">
        <v>2023</v>
      </c>
      <c r="H331" s="48">
        <v>669</v>
      </c>
      <c r="I331" s="47" t="s">
        <v>10</v>
      </c>
      <c r="J331" s="49">
        <v>8</v>
      </c>
      <c r="K331" s="8">
        <f>IFERROR(VLOOKUP(I331, data!E:F, 2, FALSE), "Precio Unidad")</f>
        <v>151</v>
      </c>
      <c r="L331" s="9">
        <f t="shared" si="5"/>
        <v>1208</v>
      </c>
    </row>
    <row r="332" spans="1:12" ht="15" customHeight="1" x14ac:dyDescent="0.2">
      <c r="A332" s="14">
        <v>46169</v>
      </c>
      <c r="B332" s="5"/>
      <c r="F332" s="7" t="str">
        <f>IFERROR(VLOOKUP(G332, data!A:B, 2, FALSE), "Tienda")</f>
        <v>SC MACROPLAZA INSURGENTES</v>
      </c>
      <c r="G332" s="46">
        <v>2023</v>
      </c>
      <c r="H332" s="48">
        <v>669</v>
      </c>
      <c r="I332" s="47" t="s">
        <v>12</v>
      </c>
      <c r="J332" s="49">
        <v>10</v>
      </c>
      <c r="K332" s="8">
        <f>IFERROR(VLOOKUP(I332, data!E:F, 2, FALSE), "Precio Unidad")</f>
        <v>95</v>
      </c>
      <c r="L332" s="9">
        <f t="shared" si="5"/>
        <v>950</v>
      </c>
    </row>
    <row r="333" spans="1:12" ht="15" customHeight="1" x14ac:dyDescent="0.2">
      <c r="A333" s="14">
        <v>46169</v>
      </c>
      <c r="B333" s="5"/>
      <c r="F333" s="7" t="str">
        <f>IFERROR(VLOOKUP(G333, data!A:B, 2, FALSE), "Tienda")</f>
        <v>SC MACROPLAZA INSURGENTES</v>
      </c>
      <c r="G333" s="46">
        <v>2023</v>
      </c>
      <c r="H333" s="48">
        <v>669</v>
      </c>
      <c r="I333" s="47" t="s">
        <v>13</v>
      </c>
      <c r="J333" s="49">
        <v>8</v>
      </c>
      <c r="K333" s="8">
        <f>IFERROR(VLOOKUP(I333, data!E:F, 2, FALSE), "Precio Unidad")</f>
        <v>63</v>
      </c>
      <c r="L333" s="9">
        <f t="shared" si="5"/>
        <v>504</v>
      </c>
    </row>
    <row r="334" spans="1:12" ht="15" customHeight="1" x14ac:dyDescent="0.2">
      <c r="A334" s="14">
        <v>46170</v>
      </c>
      <c r="B334" s="5"/>
      <c r="F334" s="7" t="str">
        <f>IFERROR(VLOOKUP(G334, data!A:B, 2, FALSE), "Tienda")</f>
        <v>SC PLAYAS DE TIJUANA</v>
      </c>
      <c r="G334" s="46">
        <v>1613</v>
      </c>
      <c r="H334" s="48">
        <v>670</v>
      </c>
      <c r="I334" s="47" t="s">
        <v>10</v>
      </c>
      <c r="J334" s="49">
        <v>15</v>
      </c>
      <c r="K334" s="8">
        <f>IFERROR(VLOOKUP(I334, data!E:F, 2, FALSE), "Precio Unidad")</f>
        <v>151</v>
      </c>
      <c r="L334" s="9">
        <f t="shared" si="5"/>
        <v>2265</v>
      </c>
    </row>
    <row r="335" spans="1:12" ht="15" customHeight="1" x14ac:dyDescent="0.2">
      <c r="A335" s="14">
        <v>46170</v>
      </c>
      <c r="B335" s="5"/>
      <c r="F335" s="7" t="str">
        <f>IFERROR(VLOOKUP(G335, data!A:B, 2, FALSE), "Tienda")</f>
        <v>SC PLAYAS DE TIJUANA</v>
      </c>
      <c r="G335" s="46">
        <v>1613</v>
      </c>
      <c r="H335" s="48">
        <v>670</v>
      </c>
      <c r="I335" s="47" t="s">
        <v>11</v>
      </c>
      <c r="J335" s="49">
        <v>8</v>
      </c>
      <c r="K335" s="8">
        <f>IFERROR(VLOOKUP(I335, data!E:F, 2, FALSE), "Precio Unidad")</f>
        <v>177</v>
      </c>
      <c r="L335" s="9">
        <f t="shared" si="5"/>
        <v>1416</v>
      </c>
    </row>
    <row r="336" spans="1:12" ht="15" customHeight="1" x14ac:dyDescent="0.2">
      <c r="A336" s="14">
        <v>46170</v>
      </c>
      <c r="B336" s="5"/>
      <c r="F336" s="7" t="str">
        <f>IFERROR(VLOOKUP(G336, data!A:B, 2, FALSE), "Tienda")</f>
        <v>SC PLAYAS DE TIJUANA</v>
      </c>
      <c r="G336" s="46">
        <v>1613</v>
      </c>
      <c r="H336" s="48">
        <v>670</v>
      </c>
      <c r="I336" s="47" t="s">
        <v>12</v>
      </c>
      <c r="J336" s="49">
        <v>10</v>
      </c>
      <c r="K336" s="8">
        <f>IFERROR(VLOOKUP(I336, data!E:F, 2, FALSE), "Precio Unidad")</f>
        <v>95</v>
      </c>
      <c r="L336" s="9">
        <f t="shared" si="5"/>
        <v>950</v>
      </c>
    </row>
    <row r="337" spans="1:12" ht="15" customHeight="1" x14ac:dyDescent="0.2">
      <c r="A337" s="14">
        <v>46170</v>
      </c>
      <c r="B337" s="5"/>
      <c r="F337" s="7" t="str">
        <f>IFERROR(VLOOKUP(G337, data!A:B, 2, FALSE), "Tienda")</f>
        <v>SC PLAYAS DE TIJUANA</v>
      </c>
      <c r="G337" s="46">
        <v>1613</v>
      </c>
      <c r="H337" s="48">
        <v>670</v>
      </c>
      <c r="I337" s="47" t="s">
        <v>13</v>
      </c>
      <c r="J337" s="49">
        <v>8</v>
      </c>
      <c r="K337" s="8">
        <f>IFERROR(VLOOKUP(I337, data!E:F, 2, FALSE), "Precio Unidad")</f>
        <v>63</v>
      </c>
      <c r="L337" s="9">
        <f t="shared" si="5"/>
        <v>504</v>
      </c>
    </row>
    <row r="338" spans="1:12" ht="15" customHeight="1" x14ac:dyDescent="0.2">
      <c r="A338" s="14">
        <v>46170</v>
      </c>
      <c r="B338" s="5"/>
      <c r="F338" s="7" t="str">
        <f>IFERROR(VLOOKUP(G338, data!A:B, 2, FALSE), "Tienda")</f>
        <v>SC ROSARITO</v>
      </c>
      <c r="G338" s="46">
        <v>4187</v>
      </c>
      <c r="H338" s="48">
        <v>671</v>
      </c>
      <c r="I338" s="47" t="s">
        <v>10</v>
      </c>
      <c r="J338" s="49">
        <v>8</v>
      </c>
      <c r="K338" s="8">
        <f>IFERROR(VLOOKUP(I338, data!E:F, 2, FALSE), "Precio Unidad")</f>
        <v>151</v>
      </c>
      <c r="L338" s="9">
        <f t="shared" si="5"/>
        <v>1208</v>
      </c>
    </row>
    <row r="339" spans="1:12" ht="15" customHeight="1" x14ac:dyDescent="0.2">
      <c r="A339" s="14">
        <v>46170</v>
      </c>
      <c r="B339" s="5"/>
      <c r="F339" s="7" t="str">
        <f>IFERROR(VLOOKUP(G339, data!A:B, 2, FALSE), "Tienda")</f>
        <v>SC ROSARITO</v>
      </c>
      <c r="G339" s="46">
        <v>4187</v>
      </c>
      <c r="H339" s="48">
        <v>671</v>
      </c>
      <c r="I339" s="47" t="s">
        <v>12</v>
      </c>
      <c r="J339" s="49">
        <v>10</v>
      </c>
      <c r="K339" s="8">
        <f>IFERROR(VLOOKUP(I339, data!E:F, 2, FALSE), "Precio Unidad")</f>
        <v>95</v>
      </c>
      <c r="L339" s="9">
        <f t="shared" si="5"/>
        <v>950</v>
      </c>
    </row>
    <row r="340" spans="1:12" ht="15" customHeight="1" x14ac:dyDescent="0.2">
      <c r="A340" s="14">
        <v>46170</v>
      </c>
      <c r="B340" s="5"/>
      <c r="F340" s="7" t="str">
        <f>IFERROR(VLOOKUP(G340, data!A:B, 2, FALSE), "Tienda")</f>
        <v>SC ROSARITO</v>
      </c>
      <c r="G340" s="46">
        <v>4187</v>
      </c>
      <c r="H340" s="48">
        <v>671</v>
      </c>
      <c r="I340" s="47" t="s">
        <v>13</v>
      </c>
      <c r="J340" s="49">
        <v>8</v>
      </c>
      <c r="K340" s="8">
        <f>IFERROR(VLOOKUP(I340, data!E:F, 2, FALSE), "Precio Unidad")</f>
        <v>63</v>
      </c>
      <c r="L340" s="9">
        <f t="shared" si="5"/>
        <v>504</v>
      </c>
    </row>
    <row r="341" spans="1:12" ht="15" customHeight="1" x14ac:dyDescent="0.2">
      <c r="A341" s="14">
        <v>46170</v>
      </c>
      <c r="B341" s="5"/>
      <c r="F341" s="7" t="str">
        <f>IFERROR(VLOOKUP(G341, data!A:B, 2, FALSE), "Tienda")</f>
        <v>SC LOMAS DE SANTA FE</v>
      </c>
      <c r="G341" s="46">
        <v>190</v>
      </c>
      <c r="H341" s="48">
        <v>672</v>
      </c>
      <c r="I341" s="47" t="s">
        <v>10</v>
      </c>
      <c r="J341" s="49">
        <v>8</v>
      </c>
      <c r="K341" s="8">
        <f>IFERROR(VLOOKUP(I341, data!E:F, 2, FALSE), "Precio Unidad")</f>
        <v>151</v>
      </c>
      <c r="L341" s="9">
        <f t="shared" si="5"/>
        <v>1208</v>
      </c>
    </row>
    <row r="342" spans="1:12" ht="15" customHeight="1" x14ac:dyDescent="0.2">
      <c r="A342" s="14">
        <v>46170</v>
      </c>
      <c r="B342" s="5"/>
      <c r="F342" s="7" t="str">
        <f>IFERROR(VLOOKUP(G342, data!A:B, 2, FALSE), "Tienda")</f>
        <v>SC LOMAS DE SANTA FE</v>
      </c>
      <c r="G342" s="46">
        <v>190</v>
      </c>
      <c r="H342" s="48">
        <v>672</v>
      </c>
      <c r="I342" s="47" t="s">
        <v>11</v>
      </c>
      <c r="J342" s="49">
        <v>8</v>
      </c>
      <c r="K342" s="8">
        <f>IFERROR(VLOOKUP(I342, data!E:F, 2, FALSE), "Precio Unidad")</f>
        <v>177</v>
      </c>
      <c r="L342" s="9">
        <f t="shared" si="5"/>
        <v>1416</v>
      </c>
    </row>
    <row r="343" spans="1:12" ht="15" customHeight="1" x14ac:dyDescent="0.2">
      <c r="A343" s="14">
        <v>46170</v>
      </c>
      <c r="B343" s="5"/>
      <c r="F343" s="7" t="str">
        <f>IFERROR(VLOOKUP(G343, data!A:B, 2, FALSE), "Tienda")</f>
        <v>SC LOMAS DE SANTA FE</v>
      </c>
      <c r="G343" s="46">
        <v>190</v>
      </c>
      <c r="H343" s="48">
        <v>672</v>
      </c>
      <c r="I343" s="47" t="s">
        <v>12</v>
      </c>
      <c r="J343" s="49">
        <v>10</v>
      </c>
      <c r="K343" s="8">
        <f>IFERROR(VLOOKUP(I343, data!E:F, 2, FALSE), "Precio Unidad")</f>
        <v>95</v>
      </c>
      <c r="L343" s="9">
        <f t="shared" si="5"/>
        <v>950</v>
      </c>
    </row>
    <row r="344" spans="1:12" ht="15" customHeight="1" x14ac:dyDescent="0.2">
      <c r="A344" s="14">
        <v>46170</v>
      </c>
      <c r="B344" s="5"/>
      <c r="F344" s="7" t="str">
        <f>IFERROR(VLOOKUP(G344, data!A:B, 2, FALSE), "Tienda")</f>
        <v>SC LOMAS DE SANTA FE</v>
      </c>
      <c r="G344" s="46">
        <v>190</v>
      </c>
      <c r="H344" s="48">
        <v>672</v>
      </c>
      <c r="I344" s="47" t="s">
        <v>13</v>
      </c>
      <c r="J344" s="49">
        <v>8</v>
      </c>
      <c r="K344" s="8">
        <f>IFERROR(VLOOKUP(I344, data!E:F, 2, FALSE), "Precio Unidad")</f>
        <v>63</v>
      </c>
      <c r="L344" s="9">
        <f t="shared" si="5"/>
        <v>504</v>
      </c>
    </row>
    <row r="345" spans="1:12" ht="15" customHeight="1" x14ac:dyDescent="0.2">
      <c r="A345" s="14">
        <v>46170</v>
      </c>
      <c r="B345" s="5"/>
      <c r="F345" s="7" t="str">
        <f>IFERROR(VLOOKUP(G345, data!A:B, 2, FALSE), "Tienda")</f>
        <v>SC PACIFICO</v>
      </c>
      <c r="G345" s="46">
        <v>1616</v>
      </c>
      <c r="H345" s="48">
        <v>673</v>
      </c>
      <c r="I345" s="47" t="s">
        <v>12</v>
      </c>
      <c r="J345" s="49">
        <v>20</v>
      </c>
      <c r="K345" s="8">
        <f>IFERROR(VLOOKUP(I345, data!E:F, 2, FALSE), "Precio Unidad")</f>
        <v>95</v>
      </c>
      <c r="L345" s="9">
        <f t="shared" ref="L345:L404" si="6">K345*J345</f>
        <v>1900</v>
      </c>
    </row>
    <row r="346" spans="1:12" ht="15" customHeight="1" x14ac:dyDescent="0.2">
      <c r="A346" s="14">
        <v>46171</v>
      </c>
      <c r="B346" s="5"/>
      <c r="F346" s="7" t="str">
        <f>IFERROR(VLOOKUP(G346, data!A:B, 2, FALSE), "Tienda")</f>
        <v>SC ENSENADA CENTRO</v>
      </c>
      <c r="G346" s="46">
        <v>2947</v>
      </c>
      <c r="H346" s="48">
        <v>674</v>
      </c>
      <c r="I346" s="47" t="s">
        <v>12</v>
      </c>
      <c r="J346" s="49">
        <v>20</v>
      </c>
      <c r="K346" s="8">
        <f>IFERROR(VLOOKUP(I346, data!E:F, 2, FALSE), "Precio Unidad")</f>
        <v>95</v>
      </c>
      <c r="L346" s="9">
        <f t="shared" si="6"/>
        <v>1900</v>
      </c>
    </row>
    <row r="347" spans="1:12" ht="15" customHeight="1" x14ac:dyDescent="0.2">
      <c r="A347" s="14">
        <v>46171</v>
      </c>
      <c r="B347" s="5"/>
      <c r="F347" s="7" t="str">
        <f>IFERROR(VLOOKUP(G347, data!A:B, 2, FALSE), "Tienda")</f>
        <v>SC ENSENADA CENTRO</v>
      </c>
      <c r="G347" s="46">
        <v>2947</v>
      </c>
      <c r="H347" s="48">
        <v>674</v>
      </c>
      <c r="I347" s="47" t="s">
        <v>13</v>
      </c>
      <c r="J347" s="49">
        <v>8</v>
      </c>
      <c r="K347" s="8">
        <f>IFERROR(VLOOKUP(I347, data!E:F, 2, FALSE), "Precio Unidad")</f>
        <v>63</v>
      </c>
      <c r="L347" s="9">
        <f t="shared" si="6"/>
        <v>504</v>
      </c>
    </row>
    <row r="348" spans="1:12" ht="15" customHeight="1" x14ac:dyDescent="0.2">
      <c r="A348" s="14">
        <v>46172</v>
      </c>
      <c r="B348" s="5"/>
      <c r="F348" s="7" t="str">
        <f>IFERROR(VLOOKUP(G348, data!A:B, 2, FALSE), "Tienda")</f>
        <v>SC PLAYAS DE TIJUANA</v>
      </c>
      <c r="G348" s="46">
        <v>1613</v>
      </c>
      <c r="H348" s="48">
        <v>675</v>
      </c>
      <c r="I348" s="47" t="s">
        <v>11</v>
      </c>
      <c r="J348" s="49">
        <v>8</v>
      </c>
      <c r="K348" s="8">
        <f>IFERROR(VLOOKUP(I348, data!E:F, 2, FALSE), "Precio Unidad")</f>
        <v>177</v>
      </c>
      <c r="L348" s="9">
        <f t="shared" si="6"/>
        <v>1416</v>
      </c>
    </row>
    <row r="349" spans="1:12" ht="15" customHeight="1" x14ac:dyDescent="0.2">
      <c r="A349" s="14">
        <v>46172</v>
      </c>
      <c r="B349" s="5"/>
      <c r="F349" s="7" t="str">
        <f>IFERROR(VLOOKUP(G349, data!A:B, 2, FALSE), "Tienda")</f>
        <v>SC PLAYAS DE TIJUANA</v>
      </c>
      <c r="G349" s="46">
        <v>1613</v>
      </c>
      <c r="H349" s="48">
        <v>675</v>
      </c>
      <c r="I349" s="47" t="s">
        <v>12</v>
      </c>
      <c r="J349" s="49">
        <v>10</v>
      </c>
      <c r="K349" s="8">
        <f>IFERROR(VLOOKUP(I349, data!E:F, 2, FALSE), "Precio Unidad")</f>
        <v>95</v>
      </c>
      <c r="L349" s="9">
        <f t="shared" si="6"/>
        <v>950</v>
      </c>
    </row>
    <row r="350" spans="1:12" ht="15" customHeight="1" x14ac:dyDescent="0.2">
      <c r="A350" s="14">
        <v>46172</v>
      </c>
      <c r="B350" s="5"/>
      <c r="F350" s="7" t="str">
        <f>IFERROR(VLOOKUP(G350, data!A:B, 2, FALSE), "Tienda")</f>
        <v>SC PLAYAS DE TIJUANA</v>
      </c>
      <c r="G350" s="46">
        <v>1613</v>
      </c>
      <c r="H350" s="48">
        <v>675</v>
      </c>
      <c r="I350" s="47" t="s">
        <v>13</v>
      </c>
      <c r="J350" s="49">
        <v>16</v>
      </c>
      <c r="K350" s="8">
        <f>IFERROR(VLOOKUP(I350, data!E:F, 2, FALSE), "Precio Unidad")</f>
        <v>63</v>
      </c>
      <c r="L350" s="9">
        <f t="shared" si="6"/>
        <v>1008</v>
      </c>
    </row>
    <row r="351" spans="1:12" ht="15" customHeight="1" x14ac:dyDescent="0.2">
      <c r="A351" s="14">
        <v>46172</v>
      </c>
      <c r="B351" s="5"/>
      <c r="F351" s="7" t="str">
        <f>IFERROR(VLOOKUP(G351, data!A:B, 2, FALSE), "Tienda")</f>
        <v>SC PACIFICO</v>
      </c>
      <c r="G351" s="46">
        <v>1616</v>
      </c>
      <c r="H351" s="48">
        <v>676</v>
      </c>
      <c r="I351" s="47" t="s">
        <v>10</v>
      </c>
      <c r="J351" s="49">
        <v>8</v>
      </c>
      <c r="K351" s="8">
        <f>IFERROR(VLOOKUP(I351, data!E:F, 2, FALSE), "Precio Unidad")</f>
        <v>151</v>
      </c>
      <c r="L351" s="9">
        <f t="shared" si="6"/>
        <v>1208</v>
      </c>
    </row>
    <row r="352" spans="1:12" ht="15" customHeight="1" x14ac:dyDescent="0.2">
      <c r="A352" s="14">
        <v>46172</v>
      </c>
      <c r="F352" s="7" t="str">
        <f>IFERROR(VLOOKUP(G352, data!A:B, 2, FALSE), "Tienda")</f>
        <v>SC PACIFICO</v>
      </c>
      <c r="G352" s="46">
        <v>1616</v>
      </c>
      <c r="H352" s="48">
        <v>676</v>
      </c>
      <c r="I352" s="47" t="s">
        <v>12</v>
      </c>
      <c r="J352" s="49">
        <v>10</v>
      </c>
      <c r="K352" s="8">
        <f>IFERROR(VLOOKUP(I352, data!E:F, 2, FALSE), "Precio Unidad")</f>
        <v>95</v>
      </c>
      <c r="L352" s="9">
        <f t="shared" si="6"/>
        <v>950</v>
      </c>
    </row>
    <row r="353" spans="1:12" ht="15" customHeight="1" x14ac:dyDescent="0.2">
      <c r="A353" s="14">
        <v>46172</v>
      </c>
      <c r="F353" s="7" t="str">
        <f>IFERROR(VLOOKUP(G353, data!A:B, 2, FALSE), "Tienda")</f>
        <v>SC PACIFICO</v>
      </c>
      <c r="G353" s="46">
        <v>1616</v>
      </c>
      <c r="H353" s="48">
        <v>676</v>
      </c>
      <c r="I353" s="47" t="s">
        <v>13</v>
      </c>
      <c r="J353" s="49">
        <v>8</v>
      </c>
      <c r="K353" s="8">
        <f>IFERROR(VLOOKUP(I353, data!E:F, 2, FALSE), "Precio Unidad")</f>
        <v>63</v>
      </c>
      <c r="L353" s="9">
        <f t="shared" si="6"/>
        <v>504</v>
      </c>
    </row>
    <row r="354" spans="1:12" ht="15" customHeight="1" x14ac:dyDescent="0.2">
      <c r="A354" s="14">
        <v>46172</v>
      </c>
      <c r="F354" s="7" t="str">
        <f>IFERROR(VLOOKUP(G354, data!A:B, 2, FALSE), "Tienda")</f>
        <v>SC LOMAS DE SANTA FE</v>
      </c>
      <c r="G354" s="46">
        <v>190</v>
      </c>
      <c r="H354" s="48">
        <v>677</v>
      </c>
      <c r="I354" s="47" t="s">
        <v>11</v>
      </c>
      <c r="J354" s="49">
        <v>8</v>
      </c>
      <c r="K354" s="8">
        <f>IFERROR(VLOOKUP(I354, data!E:F, 2, FALSE), "Precio Unidad")</f>
        <v>177</v>
      </c>
      <c r="L354" s="9">
        <f t="shared" si="6"/>
        <v>1416</v>
      </c>
    </row>
    <row r="355" spans="1:12" ht="15" customHeight="1" x14ac:dyDescent="0.2">
      <c r="A355" s="14">
        <v>46172</v>
      </c>
      <c r="F355" s="7" t="str">
        <f>IFERROR(VLOOKUP(G355, data!A:B, 2, FALSE), "Tienda")</f>
        <v>SC LOMAS DE SANTA FE</v>
      </c>
      <c r="G355" s="46">
        <v>190</v>
      </c>
      <c r="H355" s="48">
        <v>677</v>
      </c>
      <c r="I355" s="47" t="s">
        <v>12</v>
      </c>
      <c r="J355" s="49">
        <v>10</v>
      </c>
      <c r="K355" s="8">
        <f>IFERROR(VLOOKUP(I355, data!E:F, 2, FALSE), "Precio Unidad")</f>
        <v>95</v>
      </c>
      <c r="L355" s="9">
        <f t="shared" si="6"/>
        <v>950</v>
      </c>
    </row>
    <row r="356" spans="1:12" ht="15" customHeight="1" x14ac:dyDescent="0.2">
      <c r="A356" s="14">
        <v>46172</v>
      </c>
      <c r="F356" s="7" t="str">
        <f>IFERROR(VLOOKUP(G356, data!A:B, 2, FALSE), "Tienda")</f>
        <v>SC LOMAS DE SANTA FE</v>
      </c>
      <c r="G356" s="46">
        <v>190</v>
      </c>
      <c r="H356" s="48">
        <v>677</v>
      </c>
      <c r="I356" s="47" t="s">
        <v>13</v>
      </c>
      <c r="J356" s="49">
        <v>8</v>
      </c>
      <c r="K356" s="8">
        <f>IFERROR(VLOOKUP(I356, data!E:F, 2, FALSE), "Precio Unidad")</f>
        <v>63</v>
      </c>
      <c r="L356" s="9">
        <f t="shared" si="6"/>
        <v>504</v>
      </c>
    </row>
    <row r="357" spans="1:12" ht="15" customHeight="1" x14ac:dyDescent="0.2">
      <c r="A357" s="14">
        <v>46172</v>
      </c>
      <c r="F357" s="7" t="str">
        <f>IFERROR(VLOOKUP(G357, data!A:B, 2, FALSE), "Tienda")</f>
        <v>SC ROSARITO</v>
      </c>
      <c r="G357" s="46">
        <v>4187</v>
      </c>
      <c r="H357" s="48">
        <v>678</v>
      </c>
      <c r="I357" s="47" t="s">
        <v>10</v>
      </c>
      <c r="J357" s="49">
        <v>8</v>
      </c>
      <c r="K357" s="8">
        <f>IFERROR(VLOOKUP(I357, data!E:F, 2, FALSE), "Precio Unidad")</f>
        <v>151</v>
      </c>
      <c r="L357" s="9">
        <f t="shared" si="6"/>
        <v>1208</v>
      </c>
    </row>
    <row r="358" spans="1:12" ht="15" customHeight="1" x14ac:dyDescent="0.2">
      <c r="A358" s="14">
        <v>46172</v>
      </c>
      <c r="F358" s="7" t="str">
        <f>IFERROR(VLOOKUP(G358, data!A:B, 2, FALSE), "Tienda")</f>
        <v>SC ROSARITO</v>
      </c>
      <c r="G358" s="46">
        <v>4187</v>
      </c>
      <c r="H358" s="48">
        <v>678</v>
      </c>
      <c r="I358" s="47" t="s">
        <v>12</v>
      </c>
      <c r="J358" s="49">
        <v>20</v>
      </c>
      <c r="K358" s="8">
        <f>IFERROR(VLOOKUP(I358, data!E:F, 2, FALSE), "Precio Unidad")</f>
        <v>95</v>
      </c>
      <c r="L358" s="9">
        <f t="shared" si="6"/>
        <v>1900</v>
      </c>
    </row>
    <row r="359" spans="1:12" ht="15" customHeight="1" x14ac:dyDescent="0.2">
      <c r="A359" s="14">
        <v>46172</v>
      </c>
      <c r="F359" s="7" t="str">
        <f>IFERROR(VLOOKUP(G359, data!A:B, 2, FALSE), "Tienda")</f>
        <v>SC ROSARITO</v>
      </c>
      <c r="G359" s="46">
        <v>4187</v>
      </c>
      <c r="H359" s="48">
        <v>678</v>
      </c>
      <c r="I359" s="47" t="s">
        <v>13</v>
      </c>
      <c r="J359" s="49">
        <v>8</v>
      </c>
      <c r="K359" s="8">
        <f>IFERROR(VLOOKUP(I359, data!E:F, 2, FALSE), "Precio Unidad")</f>
        <v>63</v>
      </c>
      <c r="L359" s="9">
        <f t="shared" si="6"/>
        <v>504</v>
      </c>
    </row>
    <row r="360" spans="1:12" ht="15" customHeight="1" x14ac:dyDescent="0.2">
      <c r="A360" s="14">
        <v>46174</v>
      </c>
      <c r="F360" s="7" t="str">
        <f>IFERROR(VLOOKUP(G360, data!A:B, 2, FALSE), "Tienda")</f>
        <v>SC ENSENADA</v>
      </c>
      <c r="G360" s="46">
        <v>3015</v>
      </c>
      <c r="H360" s="48">
        <v>679</v>
      </c>
      <c r="I360" s="47" t="s">
        <v>10</v>
      </c>
      <c r="J360" s="49">
        <v>8</v>
      </c>
      <c r="K360" s="8">
        <f>IFERROR(VLOOKUP(I360, data!E:F, 2, FALSE), "Precio Unidad")</f>
        <v>151</v>
      </c>
      <c r="L360" s="9">
        <f t="shared" si="6"/>
        <v>1208</v>
      </c>
    </row>
    <row r="361" spans="1:12" ht="15" customHeight="1" x14ac:dyDescent="0.2">
      <c r="A361" s="14">
        <v>46174</v>
      </c>
      <c r="F361" s="7" t="str">
        <f>IFERROR(VLOOKUP(G361, data!A:B, 2, FALSE), "Tienda")</f>
        <v>SC ENSENADA</v>
      </c>
      <c r="G361" s="46">
        <v>3015</v>
      </c>
      <c r="H361" s="48">
        <v>679</v>
      </c>
      <c r="I361" s="47" t="s">
        <v>12</v>
      </c>
      <c r="J361" s="49">
        <v>10</v>
      </c>
      <c r="K361" s="8">
        <f>IFERROR(VLOOKUP(I361, data!E:F, 2, FALSE), "Precio Unidad")</f>
        <v>95</v>
      </c>
      <c r="L361" s="9">
        <f t="shared" si="6"/>
        <v>950</v>
      </c>
    </row>
    <row r="362" spans="1:12" ht="15" customHeight="1" x14ac:dyDescent="0.2">
      <c r="A362" s="14">
        <v>46174</v>
      </c>
      <c r="F362" s="7" t="str">
        <f>IFERROR(VLOOKUP(G362, data!A:B, 2, FALSE), "Tienda")</f>
        <v>SC ENSENADA</v>
      </c>
      <c r="G362" s="46">
        <v>3015</v>
      </c>
      <c r="H362" s="48">
        <v>679</v>
      </c>
      <c r="I362" s="47" t="s">
        <v>13</v>
      </c>
      <c r="J362" s="49">
        <v>8</v>
      </c>
      <c r="K362" s="8">
        <f>IFERROR(VLOOKUP(I362, data!E:F, 2, FALSE), "Precio Unidad")</f>
        <v>63</v>
      </c>
      <c r="L362" s="9">
        <f t="shared" si="6"/>
        <v>504</v>
      </c>
    </row>
    <row r="363" spans="1:12" ht="15" customHeight="1" x14ac:dyDescent="0.2">
      <c r="A363" s="14">
        <v>46175</v>
      </c>
      <c r="F363" s="7" t="str">
        <f>IFERROR(VLOOKUP(G363, data!A:B, 2, FALSE), "Tienda")</f>
        <v>SC ENSENADA CENTRO</v>
      </c>
      <c r="G363" s="46">
        <v>2947</v>
      </c>
      <c r="H363" s="48">
        <v>680</v>
      </c>
      <c r="I363" s="47" t="s">
        <v>10</v>
      </c>
      <c r="J363" s="49">
        <v>16</v>
      </c>
      <c r="K363" s="8">
        <f>IFERROR(VLOOKUP(I363, data!E:F, 2, FALSE), "Precio Unidad")</f>
        <v>151</v>
      </c>
      <c r="L363" s="9">
        <f t="shared" si="6"/>
        <v>2416</v>
      </c>
    </row>
    <row r="364" spans="1:12" ht="15" customHeight="1" x14ac:dyDescent="0.2">
      <c r="A364" s="14">
        <v>46175</v>
      </c>
      <c r="F364" s="7" t="str">
        <f>IFERROR(VLOOKUP(G364, data!A:B, 2, FALSE), "Tienda")</f>
        <v>SC ENSENADA CENTRO</v>
      </c>
      <c r="G364" s="46">
        <v>2947</v>
      </c>
      <c r="H364" s="48">
        <v>680</v>
      </c>
      <c r="I364" s="47" t="s">
        <v>13</v>
      </c>
      <c r="J364" s="49">
        <v>8</v>
      </c>
      <c r="K364" s="8">
        <f>IFERROR(VLOOKUP(I364, data!E:F, 2, FALSE), "Precio Unidad")</f>
        <v>63</v>
      </c>
      <c r="L364" s="9">
        <f t="shared" si="6"/>
        <v>504</v>
      </c>
    </row>
    <row r="365" spans="1:12" ht="15" customHeight="1" x14ac:dyDescent="0.2">
      <c r="A365" s="14">
        <v>46175</v>
      </c>
      <c r="F365" s="7" t="str">
        <f>IFERROR(VLOOKUP(G365, data!A:B, 2, FALSE), "Tienda")</f>
        <v>SC NUEVO MEXICALI</v>
      </c>
      <c r="G365" s="46">
        <v>5041</v>
      </c>
      <c r="H365" s="48">
        <v>681</v>
      </c>
      <c r="I365" s="47" t="s">
        <v>7</v>
      </c>
      <c r="J365" s="49">
        <v>9</v>
      </c>
      <c r="K365" s="8">
        <f>IFERROR(VLOOKUP(I365, data!E:F, 2, FALSE), "Precio Unidad")</f>
        <v>113</v>
      </c>
      <c r="L365" s="9">
        <f t="shared" si="6"/>
        <v>1017</v>
      </c>
    </row>
    <row r="366" spans="1:12" ht="15" customHeight="1" x14ac:dyDescent="0.2">
      <c r="A366" s="14">
        <v>46175</v>
      </c>
      <c r="F366" s="7" t="str">
        <f>IFERROR(VLOOKUP(G366, data!A:B, 2, FALSE), "Tienda")</f>
        <v>SC NUEVO MEXICALI</v>
      </c>
      <c r="G366" s="46">
        <v>5041</v>
      </c>
      <c r="H366" s="48">
        <v>681</v>
      </c>
      <c r="I366" s="47" t="s">
        <v>10</v>
      </c>
      <c r="J366" s="49">
        <v>24</v>
      </c>
      <c r="K366" s="8">
        <f>IFERROR(VLOOKUP(I366, data!E:F, 2, FALSE), "Precio Unidad")</f>
        <v>151</v>
      </c>
      <c r="L366" s="9">
        <f t="shared" si="6"/>
        <v>3624</v>
      </c>
    </row>
    <row r="367" spans="1:12" ht="15" customHeight="1" x14ac:dyDescent="0.2">
      <c r="A367" s="14">
        <v>46175</v>
      </c>
      <c r="F367" s="7" t="str">
        <f>IFERROR(VLOOKUP(G367, data!A:B, 2, FALSE), "Tienda")</f>
        <v>SC NUEVO MEXICALI</v>
      </c>
      <c r="G367" s="46">
        <v>5041</v>
      </c>
      <c r="H367" s="48">
        <v>681</v>
      </c>
      <c r="I367" s="47" t="s">
        <v>11</v>
      </c>
      <c r="J367" s="49">
        <v>32</v>
      </c>
      <c r="K367" s="8">
        <f>IFERROR(VLOOKUP(I367, data!E:F, 2, FALSE), "Precio Unidad")</f>
        <v>177</v>
      </c>
      <c r="L367" s="9">
        <f t="shared" si="6"/>
        <v>5664</v>
      </c>
    </row>
    <row r="368" spans="1:12" ht="15" customHeight="1" x14ac:dyDescent="0.2">
      <c r="A368" s="14">
        <v>46175</v>
      </c>
      <c r="F368" s="7" t="str">
        <f>IFERROR(VLOOKUP(G368, data!A:B, 2, FALSE), "Tienda")</f>
        <v>SC NUEVO MEXICALI</v>
      </c>
      <c r="G368" s="46">
        <v>5041</v>
      </c>
      <c r="H368" s="48">
        <v>681</v>
      </c>
      <c r="I368" s="47" t="s">
        <v>12</v>
      </c>
      <c r="J368" s="49">
        <v>50</v>
      </c>
      <c r="K368" s="8">
        <f>IFERROR(VLOOKUP(I368, data!E:F, 2, FALSE), "Precio Unidad")</f>
        <v>95</v>
      </c>
      <c r="L368" s="9">
        <f t="shared" si="6"/>
        <v>4750</v>
      </c>
    </row>
    <row r="369" spans="1:12" ht="15" customHeight="1" x14ac:dyDescent="0.2">
      <c r="A369" s="14">
        <v>46175</v>
      </c>
      <c r="F369" s="7" t="str">
        <f>IFERROR(VLOOKUP(G369, data!A:B, 2, FALSE), "Tienda")</f>
        <v>SC NUEVO MEXICALI</v>
      </c>
      <c r="G369" s="46">
        <v>5041</v>
      </c>
      <c r="H369" s="48">
        <v>681</v>
      </c>
      <c r="I369" s="47" t="s">
        <v>13</v>
      </c>
      <c r="J369" s="49">
        <v>32</v>
      </c>
      <c r="K369" s="8">
        <f>IFERROR(VLOOKUP(I369, data!E:F, 2, FALSE), "Precio Unidad")</f>
        <v>63</v>
      </c>
      <c r="L369" s="9">
        <f t="shared" si="6"/>
        <v>2016</v>
      </c>
    </row>
    <row r="370" spans="1:12" ht="15" customHeight="1" x14ac:dyDescent="0.2">
      <c r="A370" s="14">
        <v>46175</v>
      </c>
      <c r="F370" s="7" t="str">
        <f>IFERROR(VLOOKUP(G370, data!A:B, 2, FALSE), "Tienda")</f>
        <v>SC GALERIAS DEL VALLE</v>
      </c>
      <c r="G370" s="46">
        <v>4026</v>
      </c>
      <c r="H370" s="48">
        <v>682</v>
      </c>
      <c r="I370" s="47" t="s">
        <v>10</v>
      </c>
      <c r="J370" s="49">
        <v>24</v>
      </c>
      <c r="K370" s="8">
        <f>IFERROR(VLOOKUP(I370, data!E:F, 2, FALSE), "Precio Unidad")</f>
        <v>151</v>
      </c>
      <c r="L370" s="9">
        <f t="shared" si="6"/>
        <v>3624</v>
      </c>
    </row>
    <row r="371" spans="1:12" ht="15" customHeight="1" x14ac:dyDescent="0.2">
      <c r="A371" s="14">
        <v>46175</v>
      </c>
      <c r="F371" s="7" t="str">
        <f>IFERROR(VLOOKUP(G371, data!A:B, 2, FALSE), "Tienda")</f>
        <v>SC GALERIAS DEL VALLE</v>
      </c>
      <c r="G371" s="46">
        <v>4026</v>
      </c>
      <c r="H371" s="48">
        <v>682</v>
      </c>
      <c r="I371" s="47" t="s">
        <v>11</v>
      </c>
      <c r="J371" s="49">
        <v>8</v>
      </c>
      <c r="K371" s="8">
        <f>IFERROR(VLOOKUP(I371, data!E:F, 2, FALSE), "Precio Unidad")</f>
        <v>177</v>
      </c>
      <c r="L371" s="9">
        <f t="shared" si="6"/>
        <v>1416</v>
      </c>
    </row>
    <row r="372" spans="1:12" ht="15" customHeight="1" x14ac:dyDescent="0.2">
      <c r="A372" s="14">
        <v>46175</v>
      </c>
      <c r="F372" s="7" t="str">
        <f>IFERROR(VLOOKUP(G372, data!A:B, 2, FALSE), "Tienda")</f>
        <v>SC GALERIAS DEL VALLE</v>
      </c>
      <c r="G372" s="46">
        <v>4026</v>
      </c>
      <c r="H372" s="48">
        <v>682</v>
      </c>
      <c r="I372" s="47" t="s">
        <v>12</v>
      </c>
      <c r="J372" s="49">
        <v>20</v>
      </c>
      <c r="K372" s="8">
        <f>IFERROR(VLOOKUP(I372, data!E:F, 2, FALSE), "Precio Unidad")</f>
        <v>95</v>
      </c>
      <c r="L372" s="9">
        <f t="shared" si="6"/>
        <v>1900</v>
      </c>
    </row>
    <row r="373" spans="1:12" ht="15" customHeight="1" x14ac:dyDescent="0.2">
      <c r="A373" s="14">
        <v>46175</v>
      </c>
      <c r="F373" s="7" t="str">
        <f>IFERROR(VLOOKUP(G373, data!A:B, 2, FALSE), "Tienda")</f>
        <v>SC GALERIAS DEL VALLE</v>
      </c>
      <c r="G373" s="46">
        <v>4026</v>
      </c>
      <c r="H373" s="48">
        <v>682</v>
      </c>
      <c r="I373" s="47" t="s">
        <v>13</v>
      </c>
      <c r="J373" s="49">
        <v>24</v>
      </c>
      <c r="K373" s="8">
        <f>IFERROR(VLOOKUP(I373, data!E:F, 2, FALSE), "Precio Unidad")</f>
        <v>63</v>
      </c>
      <c r="L373" s="9">
        <f t="shared" si="6"/>
        <v>1512</v>
      </c>
    </row>
    <row r="374" spans="1:12" ht="15" customHeight="1" x14ac:dyDescent="0.2">
      <c r="A374" s="14">
        <v>46175</v>
      </c>
      <c r="F374" s="7" t="str">
        <f>IFERROR(VLOOKUP(G374, data!A:B, 2, FALSE), "Tienda")</f>
        <v>SC MEXICALI</v>
      </c>
      <c r="G374" s="46">
        <v>2304</v>
      </c>
      <c r="H374" s="48">
        <v>683</v>
      </c>
      <c r="I374" s="47" t="s">
        <v>10</v>
      </c>
      <c r="J374" s="49">
        <v>24</v>
      </c>
      <c r="K374" s="8">
        <f>IFERROR(VLOOKUP(I374, data!E:F, 2, FALSE), "Precio Unidad")</f>
        <v>151</v>
      </c>
      <c r="L374" s="9">
        <f t="shared" si="6"/>
        <v>3624</v>
      </c>
    </row>
    <row r="375" spans="1:12" ht="15" customHeight="1" x14ac:dyDescent="0.2">
      <c r="A375" s="14">
        <v>46175</v>
      </c>
      <c r="F375" s="7" t="str">
        <f>IFERROR(VLOOKUP(G375, data!A:B, 2, FALSE), "Tienda")</f>
        <v>SC MEXICALI</v>
      </c>
      <c r="G375" s="46">
        <v>2304</v>
      </c>
      <c r="H375" s="48">
        <v>683</v>
      </c>
      <c r="I375" s="47" t="s">
        <v>11</v>
      </c>
      <c r="J375" s="49">
        <v>24</v>
      </c>
      <c r="K375" s="8">
        <f>IFERROR(VLOOKUP(I375, data!E:F, 2, FALSE), "Precio Unidad")</f>
        <v>177</v>
      </c>
      <c r="L375" s="9">
        <f t="shared" si="6"/>
        <v>4248</v>
      </c>
    </row>
    <row r="376" spans="1:12" ht="15" customHeight="1" x14ac:dyDescent="0.2">
      <c r="A376" s="14">
        <v>46175</v>
      </c>
      <c r="F376" s="7" t="str">
        <f>IFERROR(VLOOKUP(G376, data!A:B, 2, FALSE), "Tienda")</f>
        <v>SC MEXICALI</v>
      </c>
      <c r="G376" s="46">
        <v>2304</v>
      </c>
      <c r="H376" s="48">
        <v>683</v>
      </c>
      <c r="I376" s="47" t="s">
        <v>12</v>
      </c>
      <c r="J376" s="49">
        <v>30</v>
      </c>
      <c r="K376" s="8">
        <f>IFERROR(VLOOKUP(I376, data!E:F, 2, FALSE), "Precio Unidad")</f>
        <v>95</v>
      </c>
      <c r="L376" s="9">
        <f t="shared" si="6"/>
        <v>2850</v>
      </c>
    </row>
    <row r="377" spans="1:12" ht="15" customHeight="1" x14ac:dyDescent="0.2">
      <c r="A377" s="14">
        <v>46175</v>
      </c>
      <c r="F377" s="7" t="str">
        <f>IFERROR(VLOOKUP(G377, data!A:B, 2, FALSE), "Tienda")</f>
        <v>SC MEXICALI</v>
      </c>
      <c r="G377" s="46">
        <v>2304</v>
      </c>
      <c r="H377" s="48">
        <v>683</v>
      </c>
      <c r="I377" s="47" t="s">
        <v>13</v>
      </c>
      <c r="J377" s="49">
        <v>16</v>
      </c>
      <c r="K377" s="8">
        <f>IFERROR(VLOOKUP(I377, data!E:F, 2, FALSE), "Precio Unidad")</f>
        <v>63</v>
      </c>
      <c r="L377" s="9">
        <f t="shared" si="6"/>
        <v>1008</v>
      </c>
    </row>
    <row r="378" spans="1:12" ht="15" customHeight="1" x14ac:dyDescent="0.2">
      <c r="A378" s="14">
        <v>46175</v>
      </c>
      <c r="F378" s="7" t="str">
        <f>IFERROR(VLOOKUP(G378, data!A:B, 2, FALSE), "Tienda")</f>
        <v>SC MEXICALI NOVENA</v>
      </c>
      <c r="G378" s="46">
        <v>1617</v>
      </c>
      <c r="H378" s="48">
        <v>684</v>
      </c>
      <c r="I378" s="47" t="s">
        <v>7</v>
      </c>
      <c r="J378" s="49">
        <v>10</v>
      </c>
      <c r="K378" s="8">
        <f>IFERROR(VLOOKUP(I378, data!E:F, 2, FALSE), "Precio Unidad")</f>
        <v>113</v>
      </c>
      <c r="L378" s="9">
        <f t="shared" si="6"/>
        <v>1130</v>
      </c>
    </row>
    <row r="379" spans="1:12" ht="15" customHeight="1" x14ac:dyDescent="0.2">
      <c r="A379" s="14">
        <v>46175</v>
      </c>
      <c r="F379" s="7" t="str">
        <f>IFERROR(VLOOKUP(G379, data!A:B, 2, FALSE), "Tienda")</f>
        <v>SC MEXICALI NOVENA</v>
      </c>
      <c r="G379" s="46">
        <v>1617</v>
      </c>
      <c r="H379" s="48">
        <v>684</v>
      </c>
      <c r="I379" s="47" t="s">
        <v>10</v>
      </c>
      <c r="J379" s="49">
        <v>24</v>
      </c>
      <c r="K379" s="8">
        <f>IFERROR(VLOOKUP(I379, data!E:F, 2, FALSE), "Precio Unidad")</f>
        <v>151</v>
      </c>
      <c r="L379" s="9">
        <f t="shared" si="6"/>
        <v>3624</v>
      </c>
    </row>
    <row r="380" spans="1:12" ht="15" customHeight="1" x14ac:dyDescent="0.2">
      <c r="A380" s="14">
        <v>46175</v>
      </c>
      <c r="F380" s="7" t="str">
        <f>IFERROR(VLOOKUP(G380, data!A:B, 2, FALSE), "Tienda")</f>
        <v>SC MEXICALI NOVENA</v>
      </c>
      <c r="G380" s="46">
        <v>1617</v>
      </c>
      <c r="H380" s="48">
        <v>684</v>
      </c>
      <c r="I380" s="47" t="s">
        <v>11</v>
      </c>
      <c r="J380" s="49">
        <v>32</v>
      </c>
      <c r="K380" s="8">
        <f>IFERROR(VLOOKUP(I380, data!E:F, 2, FALSE), "Precio Unidad")</f>
        <v>177</v>
      </c>
      <c r="L380" s="9">
        <f t="shared" si="6"/>
        <v>5664</v>
      </c>
    </row>
    <row r="381" spans="1:12" ht="15" customHeight="1" x14ac:dyDescent="0.2">
      <c r="A381" s="14">
        <v>46175</v>
      </c>
      <c r="F381" s="7" t="str">
        <f>IFERROR(VLOOKUP(G381, data!A:B, 2, FALSE), "Tienda")</f>
        <v>SC MEXICALI NOVENA</v>
      </c>
      <c r="G381" s="46">
        <v>1617</v>
      </c>
      <c r="H381" s="48">
        <v>684</v>
      </c>
      <c r="I381" s="47" t="s">
        <v>12</v>
      </c>
      <c r="J381" s="49">
        <v>29</v>
      </c>
      <c r="K381" s="8">
        <f>IFERROR(VLOOKUP(I381, data!E:F, 2, FALSE), "Precio Unidad")</f>
        <v>95</v>
      </c>
      <c r="L381" s="9">
        <f t="shared" si="6"/>
        <v>2755</v>
      </c>
    </row>
    <row r="382" spans="1:12" ht="15" customHeight="1" x14ac:dyDescent="0.2">
      <c r="A382" s="14">
        <v>46175</v>
      </c>
      <c r="F382" s="7" t="str">
        <f>IFERROR(VLOOKUP(G382, data!A:B, 2, FALSE), "Tienda")</f>
        <v>SC MEXICALI NOVENA</v>
      </c>
      <c r="G382" s="46">
        <v>1617</v>
      </c>
      <c r="H382" s="48">
        <v>684</v>
      </c>
      <c r="I382" s="47" t="s">
        <v>13</v>
      </c>
      <c r="J382" s="49">
        <v>32</v>
      </c>
      <c r="K382" s="8">
        <f>IFERROR(VLOOKUP(I382, data!E:F, 2, FALSE), "Precio Unidad")</f>
        <v>63</v>
      </c>
      <c r="L382" s="9">
        <f t="shared" si="6"/>
        <v>2016</v>
      </c>
    </row>
    <row r="383" spans="1:12" ht="15" customHeight="1" x14ac:dyDescent="0.2">
      <c r="A383" s="14">
        <v>46175</v>
      </c>
      <c r="F383" s="7" t="str">
        <f>IFERROR(VLOOKUP(G383, data!A:B, 2, FALSE), "Tienda")</f>
        <v>SC PLAZA SAN PEDRO</v>
      </c>
      <c r="G383" s="46">
        <v>1140</v>
      </c>
      <c r="H383" s="48">
        <v>685</v>
      </c>
      <c r="I383" s="47" t="s">
        <v>10</v>
      </c>
      <c r="J383" s="49">
        <v>24</v>
      </c>
      <c r="K383" s="8">
        <f>IFERROR(VLOOKUP(I383, data!E:F, 2, FALSE), "Precio Unidad")</f>
        <v>151</v>
      </c>
      <c r="L383" s="9">
        <f t="shared" si="6"/>
        <v>3624</v>
      </c>
    </row>
    <row r="384" spans="1:12" ht="15" customHeight="1" x14ac:dyDescent="0.2">
      <c r="A384" s="14">
        <v>46175</v>
      </c>
      <c r="F384" s="7" t="str">
        <f>IFERROR(VLOOKUP(G384, data!A:B, 2, FALSE), "Tienda")</f>
        <v>SC PLAZA SAN PEDRO</v>
      </c>
      <c r="G384" s="46">
        <v>1140</v>
      </c>
      <c r="H384" s="48">
        <v>685</v>
      </c>
      <c r="I384" s="47" t="s">
        <v>11</v>
      </c>
      <c r="J384" s="49">
        <v>16</v>
      </c>
      <c r="K384" s="8">
        <f>IFERROR(VLOOKUP(I384, data!E:F, 2, FALSE), "Precio Unidad")</f>
        <v>177</v>
      </c>
      <c r="L384" s="9">
        <f t="shared" si="6"/>
        <v>2832</v>
      </c>
    </row>
    <row r="385" spans="1:12" ht="15" customHeight="1" x14ac:dyDescent="0.2">
      <c r="A385" s="14">
        <v>46175</v>
      </c>
      <c r="F385" s="7" t="str">
        <f>IFERROR(VLOOKUP(G385, data!A:B, 2, FALSE), "Tienda")</f>
        <v>SC PLAZA SAN PEDRO</v>
      </c>
      <c r="G385" s="46">
        <v>1140</v>
      </c>
      <c r="H385" s="48">
        <v>685</v>
      </c>
      <c r="I385" s="47" t="s">
        <v>13</v>
      </c>
      <c r="J385" s="49">
        <v>24</v>
      </c>
      <c r="K385" s="8">
        <f>IFERROR(VLOOKUP(I385, data!E:F, 2, FALSE), "Precio Unidad")</f>
        <v>63</v>
      </c>
      <c r="L385" s="9">
        <f t="shared" si="6"/>
        <v>1512</v>
      </c>
    </row>
    <row r="386" spans="1:12" ht="15" customHeight="1" x14ac:dyDescent="0.2">
      <c r="A386" s="50">
        <v>46176</v>
      </c>
      <c r="F386" s="7" t="str">
        <f>IFERROR(VLOOKUP(G386, data!A:B, 2, FALSE), "Tienda")</f>
        <v>SC TECATE GARITA</v>
      </c>
      <c r="G386" s="46">
        <v>5295</v>
      </c>
      <c r="H386" s="48">
        <v>686</v>
      </c>
      <c r="I386" s="47" t="s">
        <v>10</v>
      </c>
      <c r="J386" s="49">
        <v>16</v>
      </c>
      <c r="K386" s="8">
        <f>IFERROR(VLOOKUP(I386, data!E:F, 2, FALSE), "Precio Unidad")</f>
        <v>151</v>
      </c>
      <c r="L386" s="9">
        <f t="shared" si="6"/>
        <v>2416</v>
      </c>
    </row>
    <row r="387" spans="1:12" ht="15" customHeight="1" x14ac:dyDescent="0.2">
      <c r="A387" s="50">
        <v>46176</v>
      </c>
      <c r="F387" s="7" t="str">
        <f>IFERROR(VLOOKUP(G387, data!A:B, 2, FALSE), "Tienda")</f>
        <v>SC TECATE GARITA</v>
      </c>
      <c r="G387" s="46">
        <v>5295</v>
      </c>
      <c r="H387" s="48">
        <v>686</v>
      </c>
      <c r="I387" s="47" t="s">
        <v>12</v>
      </c>
      <c r="J387" s="49">
        <v>10</v>
      </c>
      <c r="K387" s="8">
        <f>IFERROR(VLOOKUP(I387, data!E:F, 2, FALSE), "Precio Unidad")</f>
        <v>95</v>
      </c>
      <c r="L387" s="9">
        <f t="shared" si="6"/>
        <v>950</v>
      </c>
    </row>
    <row r="388" spans="1:12" ht="15" customHeight="1" x14ac:dyDescent="0.2">
      <c r="A388" s="50">
        <v>46176</v>
      </c>
      <c r="F388" s="7" t="str">
        <f>IFERROR(VLOOKUP(G388, data!A:B, 2, FALSE), "Tienda")</f>
        <v>SC TECATE GARITA</v>
      </c>
      <c r="G388" s="46">
        <v>5295</v>
      </c>
      <c r="H388" s="48">
        <v>686</v>
      </c>
      <c r="I388" s="47" t="s">
        <v>13</v>
      </c>
      <c r="J388" s="49">
        <v>8</v>
      </c>
      <c r="K388" s="8">
        <f>IFERROR(VLOOKUP(I388, data!E:F, 2, FALSE), "Precio Unidad")</f>
        <v>63</v>
      </c>
      <c r="L388" s="9">
        <f t="shared" si="6"/>
        <v>504</v>
      </c>
    </row>
    <row r="389" spans="1:12" ht="15" customHeight="1" x14ac:dyDescent="0.2">
      <c r="A389" s="50">
        <v>46176</v>
      </c>
      <c r="F389" s="7" t="str">
        <f>IFERROR(VLOOKUP(G389, data!A:B, 2, FALSE), "Tienda")</f>
        <v>SC TIJUANA 2000</v>
      </c>
      <c r="G389" s="46">
        <v>4155</v>
      </c>
      <c r="H389" s="48">
        <v>687</v>
      </c>
      <c r="I389" s="47" t="s">
        <v>10</v>
      </c>
      <c r="J389" s="49">
        <v>8</v>
      </c>
      <c r="K389" s="8">
        <f>IFERROR(VLOOKUP(I389, data!E:F, 2, FALSE), "Precio Unidad")</f>
        <v>151</v>
      </c>
      <c r="L389" s="9">
        <f t="shared" si="6"/>
        <v>1208</v>
      </c>
    </row>
    <row r="390" spans="1:12" ht="15" customHeight="1" x14ac:dyDescent="0.2">
      <c r="A390" s="50">
        <v>46176</v>
      </c>
      <c r="F390" s="7" t="str">
        <f>IFERROR(VLOOKUP(G390, data!A:B, 2, FALSE), "Tienda")</f>
        <v>SC TIJUANA 2000</v>
      </c>
      <c r="G390" s="46">
        <v>4155</v>
      </c>
      <c r="H390" s="48">
        <v>687</v>
      </c>
      <c r="I390" s="47" t="s">
        <v>11</v>
      </c>
      <c r="J390" s="49">
        <v>8</v>
      </c>
      <c r="K390" s="8">
        <f>IFERROR(VLOOKUP(I390, data!E:F, 2, FALSE), "Precio Unidad")</f>
        <v>177</v>
      </c>
      <c r="L390" s="9">
        <f t="shared" si="6"/>
        <v>1416</v>
      </c>
    </row>
    <row r="391" spans="1:12" ht="15" customHeight="1" x14ac:dyDescent="0.2">
      <c r="A391" s="50">
        <v>46176</v>
      </c>
      <c r="F391" s="7" t="str">
        <f>IFERROR(VLOOKUP(G391, data!A:B, 2, FALSE), "Tienda")</f>
        <v>SC TIJUANA 2000</v>
      </c>
      <c r="G391" s="46">
        <v>4155</v>
      </c>
      <c r="H391" s="48">
        <v>687</v>
      </c>
      <c r="I391" s="47" t="s">
        <v>12</v>
      </c>
      <c r="J391" s="49">
        <v>10</v>
      </c>
      <c r="K391" s="8">
        <f>IFERROR(VLOOKUP(I391, data!E:F, 2, FALSE), "Precio Unidad")</f>
        <v>95</v>
      </c>
      <c r="L391" s="9">
        <f t="shared" si="6"/>
        <v>950</v>
      </c>
    </row>
    <row r="392" spans="1:12" ht="15" customHeight="1" x14ac:dyDescent="0.2">
      <c r="A392" s="50">
        <v>46176</v>
      </c>
      <c r="F392" s="7" t="str">
        <f>IFERROR(VLOOKUP(G392, data!A:B, 2, FALSE), "Tienda")</f>
        <v>SC TIJUANA 2000</v>
      </c>
      <c r="G392" s="46">
        <v>4155</v>
      </c>
      <c r="H392" s="48">
        <v>687</v>
      </c>
      <c r="I392" s="47" t="s">
        <v>13</v>
      </c>
      <c r="J392" s="49">
        <v>16</v>
      </c>
      <c r="K392" s="8">
        <f>IFERROR(VLOOKUP(I392, data!E:F, 2, FALSE), "Precio Unidad")</f>
        <v>63</v>
      </c>
      <c r="L392" s="9">
        <f t="shared" si="6"/>
        <v>1008</v>
      </c>
    </row>
    <row r="393" spans="1:12" ht="15" customHeight="1" x14ac:dyDescent="0.2">
      <c r="A393" s="50">
        <v>46176</v>
      </c>
      <c r="F393" s="7" t="str">
        <f>IFERROR(VLOOKUP(G393, data!A:B, 2, FALSE), "Tienda")</f>
        <v>SC TIJUANA HIPODROMO</v>
      </c>
      <c r="G393" s="46">
        <v>4011</v>
      </c>
      <c r="H393" s="48">
        <v>688</v>
      </c>
      <c r="I393" s="47" t="s">
        <v>10</v>
      </c>
      <c r="J393" s="49">
        <v>8</v>
      </c>
      <c r="K393" s="8">
        <f>IFERROR(VLOOKUP(I393, data!E:F, 2, FALSE), "Precio Unidad")</f>
        <v>151</v>
      </c>
      <c r="L393" s="9">
        <f t="shared" si="6"/>
        <v>1208</v>
      </c>
    </row>
    <row r="394" spans="1:12" ht="15" customHeight="1" x14ac:dyDescent="0.2">
      <c r="A394" s="50">
        <v>46176</v>
      </c>
      <c r="F394" s="7" t="str">
        <f>IFERROR(VLOOKUP(G394, data!A:B, 2, FALSE), "Tienda")</f>
        <v>SC TIJUANA HIPODROMO</v>
      </c>
      <c r="G394" s="46">
        <v>4011</v>
      </c>
      <c r="H394" s="48">
        <v>688</v>
      </c>
      <c r="I394" s="47" t="s">
        <v>11</v>
      </c>
      <c r="J394" s="49">
        <v>8</v>
      </c>
      <c r="K394" s="8">
        <f>IFERROR(VLOOKUP(I394, data!E:F, 2, FALSE), "Precio Unidad")</f>
        <v>177</v>
      </c>
      <c r="L394" s="9">
        <f t="shared" si="6"/>
        <v>1416</v>
      </c>
    </row>
    <row r="395" spans="1:12" ht="15" customHeight="1" x14ac:dyDescent="0.2">
      <c r="A395" s="50">
        <v>46176</v>
      </c>
      <c r="F395" s="7" t="str">
        <f>IFERROR(VLOOKUP(G395, data!A:B, 2, FALSE), "Tienda")</f>
        <v>SC TIJUANA HIPODROMO</v>
      </c>
      <c r="G395" s="46">
        <v>4011</v>
      </c>
      <c r="H395" s="48">
        <v>688</v>
      </c>
      <c r="I395" s="47" t="s">
        <v>12</v>
      </c>
      <c r="J395" s="49">
        <v>20</v>
      </c>
      <c r="K395" s="8">
        <f>IFERROR(VLOOKUP(I395, data!E:F, 2, FALSE), "Precio Unidad")</f>
        <v>95</v>
      </c>
      <c r="L395" s="9">
        <f t="shared" si="6"/>
        <v>1900</v>
      </c>
    </row>
    <row r="396" spans="1:12" ht="15" customHeight="1" x14ac:dyDescent="0.2">
      <c r="A396" s="50">
        <v>46176</v>
      </c>
      <c r="F396" s="7" t="str">
        <f>IFERROR(VLOOKUP(G396, data!A:B, 2, FALSE), "Tienda")</f>
        <v>SC TIJUANA HIPODROMO</v>
      </c>
      <c r="G396" s="46">
        <v>4011</v>
      </c>
      <c r="H396" s="48">
        <v>688</v>
      </c>
      <c r="I396" s="47" t="s">
        <v>13</v>
      </c>
      <c r="J396" s="49">
        <v>8</v>
      </c>
      <c r="K396" s="8">
        <f>IFERROR(VLOOKUP(I396, data!E:F, 2, FALSE), "Precio Unidad")</f>
        <v>63</v>
      </c>
      <c r="L396" s="9">
        <f t="shared" si="6"/>
        <v>504</v>
      </c>
    </row>
    <row r="397" spans="1:12" ht="15" customHeight="1" x14ac:dyDescent="0.2">
      <c r="A397" s="50">
        <v>46176</v>
      </c>
      <c r="F397" s="7" t="str">
        <f>IFERROR(VLOOKUP(G397, data!A:B, 2, FALSE), "Tienda")</f>
        <v>SC DIAZ ORDAZ</v>
      </c>
      <c r="G397" s="46">
        <v>3664</v>
      </c>
      <c r="H397" s="48">
        <v>689</v>
      </c>
      <c r="I397" s="47" t="s">
        <v>10</v>
      </c>
      <c r="J397" s="49">
        <v>8</v>
      </c>
      <c r="K397" s="8">
        <f>IFERROR(VLOOKUP(I397, data!E:F, 2, FALSE), "Precio Unidad")</f>
        <v>151</v>
      </c>
      <c r="L397" s="9">
        <f t="shared" si="6"/>
        <v>1208</v>
      </c>
    </row>
    <row r="398" spans="1:12" ht="15" customHeight="1" x14ac:dyDescent="0.2">
      <c r="A398" s="50">
        <v>46176</v>
      </c>
      <c r="F398" s="7" t="str">
        <f>IFERROR(VLOOKUP(G398, data!A:B, 2, FALSE), "Tienda")</f>
        <v>SC DIAZ ORDAZ</v>
      </c>
      <c r="G398" s="46">
        <v>3664</v>
      </c>
      <c r="H398" s="48">
        <v>689</v>
      </c>
      <c r="I398" s="47" t="s">
        <v>12</v>
      </c>
      <c r="J398" s="49">
        <v>10</v>
      </c>
      <c r="K398" s="8">
        <f>IFERROR(VLOOKUP(I398, data!E:F, 2, FALSE), "Precio Unidad")</f>
        <v>95</v>
      </c>
      <c r="L398" s="9">
        <f t="shared" si="6"/>
        <v>950</v>
      </c>
    </row>
    <row r="399" spans="1:12" ht="15" customHeight="1" x14ac:dyDescent="0.2">
      <c r="A399" s="50">
        <v>46176</v>
      </c>
      <c r="F399" s="7" t="str">
        <f>IFERROR(VLOOKUP(G399, data!A:B, 2, FALSE), "Tienda")</f>
        <v>SC DIAZ ORDAZ</v>
      </c>
      <c r="G399" s="46">
        <v>3664</v>
      </c>
      <c r="H399" s="48">
        <v>689</v>
      </c>
      <c r="I399" s="47" t="s">
        <v>13</v>
      </c>
      <c r="J399" s="49">
        <v>8</v>
      </c>
      <c r="K399" s="8">
        <f>IFERROR(VLOOKUP(I399, data!E:F, 2, FALSE), "Precio Unidad")</f>
        <v>63</v>
      </c>
      <c r="L399" s="9">
        <f t="shared" si="6"/>
        <v>504</v>
      </c>
    </row>
    <row r="400" spans="1:12" ht="15" customHeight="1" x14ac:dyDescent="0.2">
      <c r="A400" s="50">
        <v>46176</v>
      </c>
      <c r="F400" s="7" t="str">
        <f>IFERROR(VLOOKUP(G400, data!A:B, 2, FALSE), "Tienda")</f>
        <v>SC MACROPLAZA INSURGENTES</v>
      </c>
      <c r="G400" s="46">
        <v>2023</v>
      </c>
      <c r="H400" s="48">
        <v>690</v>
      </c>
      <c r="I400" s="47" t="s">
        <v>10</v>
      </c>
      <c r="J400" s="49">
        <v>8</v>
      </c>
      <c r="K400" s="8">
        <f>IFERROR(VLOOKUP(I400, data!E:F, 2, FALSE), "Precio Unidad")</f>
        <v>151</v>
      </c>
      <c r="L400" s="9">
        <f t="shared" si="6"/>
        <v>1208</v>
      </c>
    </row>
    <row r="401" spans="1:12" ht="15" customHeight="1" x14ac:dyDescent="0.2">
      <c r="A401" s="50">
        <v>46176</v>
      </c>
      <c r="F401" s="7" t="str">
        <f>IFERROR(VLOOKUP(G401, data!A:B, 2, FALSE), "Tienda")</f>
        <v>SC MACROPLAZA INSURGENTES</v>
      </c>
      <c r="G401" s="46">
        <v>2023</v>
      </c>
      <c r="H401" s="48">
        <v>690</v>
      </c>
      <c r="I401" s="47" t="s">
        <v>12</v>
      </c>
      <c r="J401" s="49">
        <v>10</v>
      </c>
      <c r="K401" s="8">
        <f>IFERROR(VLOOKUP(I401, data!E:F, 2, FALSE), "Precio Unidad")</f>
        <v>95</v>
      </c>
      <c r="L401" s="9">
        <f t="shared" si="6"/>
        <v>950</v>
      </c>
    </row>
    <row r="402" spans="1:12" ht="15" customHeight="1" x14ac:dyDescent="0.2">
      <c r="A402" s="50">
        <v>46176</v>
      </c>
      <c r="F402" s="7" t="str">
        <f>IFERROR(VLOOKUP(G402, data!A:B, 2, FALSE), "Tienda")</f>
        <v>SC MACROPLAZA INSURGENTES</v>
      </c>
      <c r="G402" s="46">
        <v>2023</v>
      </c>
      <c r="H402" s="48">
        <v>690</v>
      </c>
      <c r="I402" s="47" t="s">
        <v>13</v>
      </c>
      <c r="J402" s="49">
        <v>8</v>
      </c>
      <c r="K402" s="8">
        <f>IFERROR(VLOOKUP(I402, data!E:F, 2, FALSE), "Precio Unidad")</f>
        <v>63</v>
      </c>
      <c r="L402" s="9">
        <f t="shared" si="6"/>
        <v>504</v>
      </c>
    </row>
    <row r="403" spans="1:12" ht="15" customHeight="1" x14ac:dyDescent="0.2">
      <c r="A403" s="50">
        <v>46176</v>
      </c>
      <c r="F403" s="7" t="str">
        <f>IFERROR(VLOOKUP(G403, data!A:B, 2, FALSE), "Tienda")</f>
        <v>SC ENSENADA</v>
      </c>
      <c r="G403" s="46">
        <v>3015</v>
      </c>
      <c r="H403" s="48">
        <v>691</v>
      </c>
      <c r="I403" s="47" t="s">
        <v>10</v>
      </c>
      <c r="J403" s="49">
        <v>8</v>
      </c>
      <c r="K403" s="8">
        <f>IFERROR(VLOOKUP(I403, data!E:F, 2, FALSE), "Precio Unidad")</f>
        <v>151</v>
      </c>
      <c r="L403" s="9">
        <f t="shared" si="6"/>
        <v>1208</v>
      </c>
    </row>
    <row r="404" spans="1:12" ht="15" customHeight="1" x14ac:dyDescent="0.2">
      <c r="A404" s="50">
        <v>46176</v>
      </c>
      <c r="F404" s="7" t="str">
        <f>IFERROR(VLOOKUP(G404, data!A:B, 2, FALSE), "Tienda")</f>
        <v>SC ENSENADA</v>
      </c>
      <c r="G404" s="46">
        <v>3015</v>
      </c>
      <c r="H404" s="48">
        <v>691</v>
      </c>
      <c r="I404" s="47" t="s">
        <v>13</v>
      </c>
      <c r="J404" s="49">
        <v>16</v>
      </c>
      <c r="K404" s="8">
        <f>IFERROR(VLOOKUP(I404, data!E:F, 2, FALSE), "Precio Unidad")</f>
        <v>63</v>
      </c>
      <c r="L404" s="9">
        <f t="shared" si="6"/>
        <v>1008</v>
      </c>
    </row>
    <row r="405" spans="1:12" ht="15" customHeight="1" x14ac:dyDescent="0.2">
      <c r="A405" s="50">
        <v>46176</v>
      </c>
      <c r="F405" s="7" t="str">
        <f>IFERROR(VLOOKUP(G405, data!A:B, 2, FALSE), "Tienda")</f>
        <v>SC ENSENADA CENTRO</v>
      </c>
      <c r="G405" s="46">
        <v>2947</v>
      </c>
      <c r="H405" s="48">
        <v>692</v>
      </c>
      <c r="I405" s="47" t="s">
        <v>13</v>
      </c>
      <c r="J405" s="49">
        <v>16</v>
      </c>
      <c r="K405" s="8">
        <f>IFERROR(VLOOKUP(I405, data!E:F, 2, FALSE), "Precio Unidad")</f>
        <v>63</v>
      </c>
      <c r="L405" s="9">
        <f t="shared" ref="L405:L467" si="7">K405*J405</f>
        <v>1008</v>
      </c>
    </row>
    <row r="406" spans="1:12" ht="15" customHeight="1" x14ac:dyDescent="0.2">
      <c r="A406" s="50">
        <v>46177</v>
      </c>
      <c r="F406" s="7" t="str">
        <f>IFERROR(VLOOKUP(G406, data!A:B, 2, FALSE), "Tienda")</f>
        <v>SC PLAYAS DE TIJUANA</v>
      </c>
      <c r="G406" s="46">
        <v>1613</v>
      </c>
      <c r="H406" s="48">
        <v>693</v>
      </c>
      <c r="I406" s="47" t="s">
        <v>10</v>
      </c>
      <c r="J406" s="49">
        <v>8</v>
      </c>
      <c r="K406" s="8">
        <f>IFERROR(VLOOKUP(I406, data!E:F, 2, FALSE), "Precio Unidad")</f>
        <v>151</v>
      </c>
      <c r="L406" s="9">
        <f t="shared" si="7"/>
        <v>1208</v>
      </c>
    </row>
    <row r="407" spans="1:12" ht="15" customHeight="1" x14ac:dyDescent="0.2">
      <c r="A407" s="50">
        <v>46177</v>
      </c>
      <c r="F407" s="7" t="str">
        <f>IFERROR(VLOOKUP(G407, data!A:B, 2, FALSE), "Tienda")</f>
        <v>SC PLAYAS DE TIJUANA</v>
      </c>
      <c r="G407" s="46">
        <v>1613</v>
      </c>
      <c r="H407" s="48">
        <v>693</v>
      </c>
      <c r="I407" s="47" t="s">
        <v>11</v>
      </c>
      <c r="J407" s="49">
        <v>8</v>
      </c>
      <c r="K407" s="8">
        <f>IFERROR(VLOOKUP(I407, data!E:F, 2, FALSE), "Precio Unidad")</f>
        <v>177</v>
      </c>
      <c r="L407" s="9">
        <f t="shared" si="7"/>
        <v>1416</v>
      </c>
    </row>
    <row r="408" spans="1:12" ht="15" customHeight="1" x14ac:dyDescent="0.2">
      <c r="A408" s="50">
        <v>46177</v>
      </c>
      <c r="F408" s="7" t="str">
        <f>IFERROR(VLOOKUP(G408, data!A:B, 2, FALSE), "Tienda")</f>
        <v>SC PLAYAS DE TIJUANA</v>
      </c>
      <c r="G408" s="46">
        <v>1613</v>
      </c>
      <c r="H408" s="48">
        <v>693</v>
      </c>
      <c r="I408" s="47" t="s">
        <v>13</v>
      </c>
      <c r="J408" s="49">
        <v>8</v>
      </c>
      <c r="K408" s="8">
        <f>IFERROR(VLOOKUP(I408, data!E:F, 2, FALSE), "Precio Unidad")</f>
        <v>63</v>
      </c>
      <c r="L408" s="9">
        <f t="shared" si="7"/>
        <v>504</v>
      </c>
    </row>
    <row r="409" spans="1:12" ht="15" customHeight="1" x14ac:dyDescent="0.2">
      <c r="A409" s="50">
        <v>46177</v>
      </c>
      <c r="F409" s="7" t="str">
        <f>IFERROR(VLOOKUP(G409, data!A:B, 2, FALSE), "Tienda")</f>
        <v>SC PACIFICO</v>
      </c>
      <c r="G409" s="46">
        <v>1616</v>
      </c>
      <c r="H409" s="48">
        <v>694</v>
      </c>
      <c r="I409" s="47" t="s">
        <v>10</v>
      </c>
      <c r="J409" s="49">
        <v>8</v>
      </c>
      <c r="K409" s="8">
        <f>IFERROR(VLOOKUP(I409, data!E:F, 2, FALSE), "Precio Unidad")</f>
        <v>151</v>
      </c>
      <c r="L409" s="9">
        <f t="shared" si="7"/>
        <v>1208</v>
      </c>
    </row>
    <row r="410" spans="1:12" ht="15" customHeight="1" x14ac:dyDescent="0.2">
      <c r="A410" s="50">
        <v>46177</v>
      </c>
      <c r="F410" s="7" t="str">
        <f>IFERROR(VLOOKUP(G410, data!A:B, 2, FALSE), "Tienda")</f>
        <v>SC PACIFICO</v>
      </c>
      <c r="G410" s="46">
        <v>1616</v>
      </c>
      <c r="H410" s="48">
        <v>694</v>
      </c>
      <c r="I410" s="47" t="s">
        <v>12</v>
      </c>
      <c r="J410" s="49">
        <v>10</v>
      </c>
      <c r="K410" s="8">
        <f>IFERROR(VLOOKUP(I410, data!E:F, 2, FALSE), "Precio Unidad")</f>
        <v>95</v>
      </c>
      <c r="L410" s="9">
        <f t="shared" si="7"/>
        <v>950</v>
      </c>
    </row>
    <row r="411" spans="1:12" ht="15" customHeight="1" x14ac:dyDescent="0.2">
      <c r="A411" s="50">
        <v>46177</v>
      </c>
      <c r="F411" s="7" t="str">
        <f>IFERROR(VLOOKUP(G411, data!A:B, 2, FALSE), "Tienda")</f>
        <v>SC PACIFICO</v>
      </c>
      <c r="G411" s="46">
        <v>1616</v>
      </c>
      <c r="H411" s="48">
        <v>694</v>
      </c>
      <c r="I411" s="47" t="s">
        <v>13</v>
      </c>
      <c r="J411" s="49">
        <v>8</v>
      </c>
      <c r="K411" s="8">
        <f>IFERROR(VLOOKUP(I411, data!E:F, 2, FALSE), "Precio Unidad")</f>
        <v>63</v>
      </c>
      <c r="L411" s="9">
        <f t="shared" si="7"/>
        <v>504</v>
      </c>
    </row>
    <row r="412" spans="1:12" ht="15" customHeight="1" x14ac:dyDescent="0.2">
      <c r="A412" s="50">
        <v>46177</v>
      </c>
      <c r="F412" s="7" t="str">
        <f>IFERROR(VLOOKUP(G412, data!A:B, 2, FALSE), "Tienda")</f>
        <v>SC LOMAS DE SANTA FE</v>
      </c>
      <c r="G412" s="46">
        <v>190</v>
      </c>
      <c r="H412" s="48">
        <v>695</v>
      </c>
      <c r="I412" s="47" t="s">
        <v>10</v>
      </c>
      <c r="J412" s="49">
        <v>8</v>
      </c>
      <c r="K412" s="8">
        <f>IFERROR(VLOOKUP(I412, data!E:F, 2, FALSE), "Precio Unidad")</f>
        <v>151</v>
      </c>
      <c r="L412" s="9">
        <f t="shared" si="7"/>
        <v>1208</v>
      </c>
    </row>
    <row r="413" spans="1:12" ht="15" customHeight="1" x14ac:dyDescent="0.2">
      <c r="A413" s="50">
        <v>46177</v>
      </c>
      <c r="F413" s="7" t="str">
        <f>IFERROR(VLOOKUP(G413, data!A:B, 2, FALSE), "Tienda")</f>
        <v>SC LOMAS DE SANTA FE</v>
      </c>
      <c r="G413" s="46">
        <v>190</v>
      </c>
      <c r="H413" s="48">
        <v>695</v>
      </c>
      <c r="I413" s="47" t="s">
        <v>12</v>
      </c>
      <c r="J413" s="49">
        <v>10</v>
      </c>
      <c r="K413" s="8">
        <f>IFERROR(VLOOKUP(I413, data!E:F, 2, FALSE), "Precio Unidad")</f>
        <v>95</v>
      </c>
      <c r="L413" s="9">
        <f t="shared" si="7"/>
        <v>950</v>
      </c>
    </row>
    <row r="414" spans="1:12" ht="15" customHeight="1" x14ac:dyDescent="0.2">
      <c r="A414" s="50">
        <v>46177</v>
      </c>
      <c r="F414" s="7" t="str">
        <f>IFERROR(VLOOKUP(G414, data!A:B, 2, FALSE), "Tienda")</f>
        <v>SC LOMAS DE SANTA FE</v>
      </c>
      <c r="G414" s="46">
        <v>190</v>
      </c>
      <c r="H414" s="48">
        <v>695</v>
      </c>
      <c r="I414" s="47" t="s">
        <v>13</v>
      </c>
      <c r="J414" s="49">
        <v>8</v>
      </c>
      <c r="K414" s="8">
        <f>IFERROR(VLOOKUP(I414, data!E:F, 2, FALSE), "Precio Unidad")</f>
        <v>63</v>
      </c>
      <c r="L414" s="9">
        <f t="shared" si="7"/>
        <v>504</v>
      </c>
    </row>
    <row r="415" spans="1:12" ht="15" customHeight="1" x14ac:dyDescent="0.2">
      <c r="A415" s="50">
        <v>46177</v>
      </c>
      <c r="F415" s="7" t="str">
        <f>IFERROR(VLOOKUP(G415, data!A:B, 2, FALSE), "Tienda")</f>
        <v>SC ROSARITO</v>
      </c>
      <c r="G415" s="46">
        <v>4187</v>
      </c>
      <c r="H415" s="48">
        <v>696</v>
      </c>
      <c r="I415" s="47" t="s">
        <v>10</v>
      </c>
      <c r="J415" s="49">
        <v>8</v>
      </c>
      <c r="K415" s="8">
        <f>IFERROR(VLOOKUP(I415, data!E:F, 2, FALSE), "Precio Unidad")</f>
        <v>151</v>
      </c>
      <c r="L415" s="9">
        <f t="shared" si="7"/>
        <v>1208</v>
      </c>
    </row>
    <row r="416" spans="1:12" ht="15" customHeight="1" x14ac:dyDescent="0.2">
      <c r="A416" s="50">
        <v>46177</v>
      </c>
      <c r="F416" s="7" t="str">
        <f>IFERROR(VLOOKUP(G416, data!A:B, 2, FALSE), "Tienda")</f>
        <v>SC ROSARITO</v>
      </c>
      <c r="G416" s="46">
        <v>4187</v>
      </c>
      <c r="H416" s="48">
        <v>696</v>
      </c>
      <c r="I416" s="47" t="s">
        <v>10</v>
      </c>
      <c r="J416" s="49">
        <v>8</v>
      </c>
      <c r="K416" s="8">
        <f>IFERROR(VLOOKUP(I416, data!E:F, 2, FALSE), "Precio Unidad")</f>
        <v>151</v>
      </c>
      <c r="L416" s="9">
        <f t="shared" si="7"/>
        <v>1208</v>
      </c>
    </row>
    <row r="417" spans="1:12" ht="15" customHeight="1" x14ac:dyDescent="0.2">
      <c r="A417" s="50">
        <v>46177</v>
      </c>
      <c r="F417" s="7" t="str">
        <f>IFERROR(VLOOKUP(G417, data!A:B, 2, FALSE), "Tienda")</f>
        <v>SC ROSARITO</v>
      </c>
      <c r="G417" s="46">
        <v>4187</v>
      </c>
      <c r="H417" s="48">
        <v>696</v>
      </c>
      <c r="I417" s="47" t="s">
        <v>12</v>
      </c>
      <c r="J417" s="49">
        <v>10</v>
      </c>
      <c r="K417" s="8">
        <f>IFERROR(VLOOKUP(I417, data!E:F, 2, FALSE), "Precio Unidad")</f>
        <v>95</v>
      </c>
      <c r="L417" s="9">
        <f t="shared" si="7"/>
        <v>950</v>
      </c>
    </row>
    <row r="418" spans="1:12" ht="15" customHeight="1" x14ac:dyDescent="0.2">
      <c r="A418" s="50">
        <v>46177</v>
      </c>
      <c r="F418" s="7" t="str">
        <f>IFERROR(VLOOKUP(G418, data!A:B, 2, FALSE), "Tienda")</f>
        <v>SC ROSARITO</v>
      </c>
      <c r="G418" s="46">
        <v>4187</v>
      </c>
      <c r="H418" s="48">
        <v>696</v>
      </c>
      <c r="I418" s="47" t="s">
        <v>13</v>
      </c>
      <c r="J418" s="49">
        <v>8</v>
      </c>
      <c r="K418" s="8">
        <f>IFERROR(VLOOKUP(I418, data!E:F, 2, FALSE), "Precio Unidad")</f>
        <v>63</v>
      </c>
      <c r="L418" s="9">
        <f t="shared" si="7"/>
        <v>504</v>
      </c>
    </row>
    <row r="419" spans="1:12" ht="15" customHeight="1" x14ac:dyDescent="0.2">
      <c r="A419" s="50">
        <v>46177</v>
      </c>
      <c r="F419" s="7" t="str">
        <f>IFERROR(VLOOKUP(G419, data!A:B, 2, FALSE), "Tienda")</f>
        <v>SC ENSENADA CENTRO</v>
      </c>
      <c r="G419" s="46">
        <v>2947</v>
      </c>
      <c r="H419" s="48">
        <v>697</v>
      </c>
      <c r="I419" s="47" t="s">
        <v>10</v>
      </c>
      <c r="J419" s="49">
        <v>8</v>
      </c>
      <c r="K419" s="8">
        <f>IFERROR(VLOOKUP(I419, data!E:F, 2, FALSE), "Precio Unidad")</f>
        <v>151</v>
      </c>
      <c r="L419" s="9">
        <f t="shared" si="7"/>
        <v>1208</v>
      </c>
    </row>
    <row r="420" spans="1:12" ht="15" customHeight="1" x14ac:dyDescent="0.2">
      <c r="A420" s="50">
        <v>46177</v>
      </c>
      <c r="F420" s="7" t="str">
        <f>IFERROR(VLOOKUP(G420, data!A:B, 2, FALSE), "Tienda")</f>
        <v>SC ENSENADA CENTRO</v>
      </c>
      <c r="G420" s="46">
        <v>2947</v>
      </c>
      <c r="H420" s="48">
        <v>697</v>
      </c>
      <c r="I420" s="47" t="s">
        <v>12</v>
      </c>
      <c r="J420" s="49">
        <v>10</v>
      </c>
      <c r="K420" s="8">
        <f>IFERROR(VLOOKUP(I420, data!E:F, 2, FALSE), "Precio Unidad")</f>
        <v>95</v>
      </c>
      <c r="L420" s="9">
        <f t="shared" si="7"/>
        <v>950</v>
      </c>
    </row>
    <row r="421" spans="1:12" ht="15" customHeight="1" x14ac:dyDescent="0.2">
      <c r="A421" s="50">
        <v>46177</v>
      </c>
      <c r="F421" s="7" t="str">
        <f>IFERROR(VLOOKUP(G421, data!A:B, 2, FALSE), "Tienda")</f>
        <v>SC ENSENADA CENTRO</v>
      </c>
      <c r="G421" s="46">
        <v>2947</v>
      </c>
      <c r="H421" s="48">
        <v>697</v>
      </c>
      <c r="I421" s="47" t="s">
        <v>13</v>
      </c>
      <c r="J421" s="49">
        <v>8</v>
      </c>
      <c r="K421" s="8">
        <f>IFERROR(VLOOKUP(I421, data!E:F, 2, FALSE), "Precio Unidad")</f>
        <v>63</v>
      </c>
      <c r="L421" s="9">
        <f t="shared" si="7"/>
        <v>504</v>
      </c>
    </row>
    <row r="422" spans="1:12" ht="15" customHeight="1" x14ac:dyDescent="0.2">
      <c r="A422" s="50">
        <v>46179</v>
      </c>
      <c r="F422" s="7" t="str">
        <f>IFERROR(VLOOKUP(G422, data!A:B, 2, FALSE), "Tienda")</f>
        <v>SC NUEVO MEXICALI</v>
      </c>
      <c r="G422" s="46">
        <v>5041</v>
      </c>
      <c r="H422" s="48">
        <v>698</v>
      </c>
      <c r="I422" s="47" t="s">
        <v>6</v>
      </c>
      <c r="J422" s="49">
        <v>4</v>
      </c>
      <c r="K422" s="8">
        <f>IFERROR(VLOOKUP(I422, data!E:F, 2, FALSE), "Precio Unidad")</f>
        <v>167</v>
      </c>
      <c r="L422" s="9">
        <f t="shared" si="7"/>
        <v>668</v>
      </c>
    </row>
    <row r="423" spans="1:12" ht="15" customHeight="1" x14ac:dyDescent="0.2">
      <c r="A423" s="50">
        <v>46179</v>
      </c>
      <c r="F423" s="7" t="str">
        <f>IFERROR(VLOOKUP(G423, data!A:B, 2, FALSE), "Tienda")</f>
        <v>SC NUEVO MEXICALI</v>
      </c>
      <c r="G423" s="46">
        <v>5041</v>
      </c>
      <c r="H423" s="48">
        <v>698</v>
      </c>
      <c r="I423" s="47" t="s">
        <v>10</v>
      </c>
      <c r="J423" s="49">
        <v>8</v>
      </c>
      <c r="K423" s="8">
        <f>IFERROR(VLOOKUP(I423, data!E:F, 2, FALSE), "Precio Unidad")</f>
        <v>151</v>
      </c>
      <c r="L423" s="9">
        <f t="shared" si="7"/>
        <v>1208</v>
      </c>
    </row>
    <row r="424" spans="1:12" ht="15" customHeight="1" x14ac:dyDescent="0.2">
      <c r="A424" s="50">
        <v>46179</v>
      </c>
      <c r="F424" s="7" t="str">
        <f>IFERROR(VLOOKUP(G424, data!A:B, 2, FALSE), "Tienda")</f>
        <v>SC NUEVO MEXICALI</v>
      </c>
      <c r="G424" s="46">
        <v>5041</v>
      </c>
      <c r="H424" s="48">
        <v>698</v>
      </c>
      <c r="I424" s="47" t="s">
        <v>11</v>
      </c>
      <c r="J424" s="49">
        <v>8</v>
      </c>
      <c r="K424" s="8">
        <f>IFERROR(VLOOKUP(I424, data!E:F, 2, FALSE), "Precio Unidad")</f>
        <v>177</v>
      </c>
      <c r="L424" s="9">
        <f t="shared" si="7"/>
        <v>1416</v>
      </c>
    </row>
    <row r="425" spans="1:12" ht="15" customHeight="1" x14ac:dyDescent="0.2">
      <c r="A425" s="50">
        <v>46179</v>
      </c>
      <c r="F425" s="7" t="str">
        <f>IFERROR(VLOOKUP(G425, data!A:B, 2, FALSE), "Tienda")</f>
        <v>SC NUEVO MEXICALI</v>
      </c>
      <c r="G425" s="46">
        <v>5041</v>
      </c>
      <c r="H425" s="48">
        <v>698</v>
      </c>
      <c r="I425" s="47" t="s">
        <v>12</v>
      </c>
      <c r="J425" s="49">
        <v>10</v>
      </c>
      <c r="K425" s="8">
        <f>IFERROR(VLOOKUP(I425, data!E:F, 2, FALSE), "Precio Unidad")</f>
        <v>95</v>
      </c>
      <c r="L425" s="9">
        <f t="shared" si="7"/>
        <v>950</v>
      </c>
    </row>
    <row r="426" spans="1:12" ht="15" customHeight="1" x14ac:dyDescent="0.2">
      <c r="A426" s="50">
        <v>46179</v>
      </c>
      <c r="F426" s="7" t="str">
        <f>IFERROR(VLOOKUP(G426, data!A:B, 2, FALSE), "Tienda")</f>
        <v>SC NUEVO MEXICALI</v>
      </c>
      <c r="G426" s="46">
        <v>5041</v>
      </c>
      <c r="H426" s="48">
        <v>698</v>
      </c>
      <c r="I426" s="47" t="s">
        <v>13</v>
      </c>
      <c r="J426" s="49">
        <v>10</v>
      </c>
      <c r="K426" s="8">
        <f>IFERROR(VLOOKUP(I426, data!E:F, 2, FALSE), "Precio Unidad")</f>
        <v>63</v>
      </c>
      <c r="L426" s="9">
        <f t="shared" si="7"/>
        <v>630</v>
      </c>
    </row>
    <row r="427" spans="1:12" ht="15" customHeight="1" x14ac:dyDescent="0.2">
      <c r="A427" s="50">
        <v>46179</v>
      </c>
      <c r="F427" s="7" t="str">
        <f>IFERROR(VLOOKUP(G427, data!A:B, 2, FALSE), "Tienda")</f>
        <v>SC GALERIAS DEL VALLE</v>
      </c>
      <c r="G427" s="46">
        <v>4026</v>
      </c>
      <c r="H427" s="48">
        <v>699</v>
      </c>
      <c r="I427" s="47" t="s">
        <v>10</v>
      </c>
      <c r="J427" s="49">
        <v>8</v>
      </c>
      <c r="K427" s="8">
        <f>IFERROR(VLOOKUP(I427, data!E:F, 2, FALSE), "Precio Unidad")</f>
        <v>151</v>
      </c>
      <c r="L427" s="9">
        <f t="shared" si="7"/>
        <v>1208</v>
      </c>
    </row>
    <row r="428" spans="1:12" ht="15" customHeight="1" x14ac:dyDescent="0.2">
      <c r="A428" s="50">
        <v>46179</v>
      </c>
      <c r="F428" s="7" t="str">
        <f>IFERROR(VLOOKUP(G428, data!A:B, 2, FALSE), "Tienda")</f>
        <v>SC GALERIAS DEL VALLE</v>
      </c>
      <c r="G428" s="46">
        <v>4026</v>
      </c>
      <c r="H428" s="48">
        <v>699</v>
      </c>
      <c r="I428" s="47" t="s">
        <v>12</v>
      </c>
      <c r="J428" s="49">
        <v>10</v>
      </c>
      <c r="K428" s="8">
        <f>IFERROR(VLOOKUP(I428, data!E:F, 2, FALSE), "Precio Unidad")</f>
        <v>95</v>
      </c>
      <c r="L428" s="9">
        <f t="shared" si="7"/>
        <v>950</v>
      </c>
    </row>
    <row r="429" spans="1:12" ht="15" customHeight="1" x14ac:dyDescent="0.2">
      <c r="A429" s="50">
        <v>46179</v>
      </c>
      <c r="F429" s="7" t="str">
        <f>IFERROR(VLOOKUP(G429, data!A:B, 2, FALSE), "Tienda")</f>
        <v>SC GALERIAS DEL VALLE</v>
      </c>
      <c r="G429" s="46">
        <v>4026</v>
      </c>
      <c r="H429" s="48">
        <v>699</v>
      </c>
      <c r="I429" s="47" t="s">
        <v>13</v>
      </c>
      <c r="J429" s="49">
        <v>10</v>
      </c>
      <c r="K429" s="8">
        <f>IFERROR(VLOOKUP(I429, data!E:F, 2, FALSE), "Precio Unidad")</f>
        <v>63</v>
      </c>
      <c r="L429" s="9">
        <f t="shared" si="7"/>
        <v>630</v>
      </c>
    </row>
    <row r="430" spans="1:12" ht="15" customHeight="1" x14ac:dyDescent="0.2">
      <c r="A430" s="50">
        <v>46179</v>
      </c>
      <c r="F430" s="7" t="str">
        <f>IFERROR(VLOOKUP(G430, data!A:B, 2, FALSE), "Tienda")</f>
        <v>SC ENSENADA</v>
      </c>
      <c r="G430" s="46">
        <v>3015</v>
      </c>
      <c r="H430" s="48">
        <v>700</v>
      </c>
      <c r="I430" s="47" t="s">
        <v>10</v>
      </c>
      <c r="J430" s="49">
        <v>8</v>
      </c>
      <c r="K430" s="8">
        <f>IFERROR(VLOOKUP(I430, data!E:F, 2, FALSE), "Precio Unidad")</f>
        <v>151</v>
      </c>
      <c r="L430" s="9">
        <f t="shared" si="7"/>
        <v>1208</v>
      </c>
    </row>
    <row r="431" spans="1:12" ht="15" customHeight="1" x14ac:dyDescent="0.2">
      <c r="A431" s="50">
        <v>46179</v>
      </c>
      <c r="F431" s="7" t="str">
        <f>IFERROR(VLOOKUP(G431, data!A:B, 2, FALSE), "Tienda")</f>
        <v>SC ENSENADA</v>
      </c>
      <c r="G431" s="46">
        <v>3015</v>
      </c>
      <c r="H431" s="48">
        <v>700</v>
      </c>
      <c r="I431" s="47" t="s">
        <v>12</v>
      </c>
      <c r="J431" s="49">
        <v>10</v>
      </c>
      <c r="K431" s="8">
        <f>IFERROR(VLOOKUP(I431, data!E:F, 2, FALSE), "Precio Unidad")</f>
        <v>95</v>
      </c>
      <c r="L431" s="9">
        <f t="shared" si="7"/>
        <v>950</v>
      </c>
    </row>
    <row r="432" spans="1:12" ht="15" customHeight="1" x14ac:dyDescent="0.2">
      <c r="A432" s="50">
        <v>46179</v>
      </c>
      <c r="F432" s="7" t="str">
        <f>IFERROR(VLOOKUP(G432, data!A:B, 2, FALSE), "Tienda")</f>
        <v>SC ENSENADA</v>
      </c>
      <c r="G432" s="46">
        <v>3015</v>
      </c>
      <c r="H432" s="48">
        <v>700</v>
      </c>
      <c r="I432" s="47" t="s">
        <v>13</v>
      </c>
      <c r="J432" s="49">
        <v>10</v>
      </c>
      <c r="K432" s="8">
        <f>IFERROR(VLOOKUP(I432, data!E:F, 2, FALSE), "Precio Unidad")</f>
        <v>63</v>
      </c>
      <c r="L432" s="9">
        <f t="shared" si="7"/>
        <v>630</v>
      </c>
    </row>
    <row r="433" spans="1:12" ht="15" customHeight="1" x14ac:dyDescent="0.2">
      <c r="A433" s="50">
        <v>46179</v>
      </c>
      <c r="F433" s="7" t="str">
        <f>IFERROR(VLOOKUP(G433, data!A:B, 2, FALSE), "Tienda")</f>
        <v>SC ENSENADA CENTRO</v>
      </c>
      <c r="G433" s="46">
        <v>2947</v>
      </c>
      <c r="H433" s="48">
        <v>701</v>
      </c>
      <c r="I433" s="47" t="s">
        <v>10</v>
      </c>
      <c r="J433" s="49">
        <v>8</v>
      </c>
      <c r="K433" s="8">
        <f>IFERROR(VLOOKUP(I433, data!E:F, 2, FALSE), "Precio Unidad")</f>
        <v>151</v>
      </c>
      <c r="L433" s="9">
        <f t="shared" si="7"/>
        <v>1208</v>
      </c>
    </row>
    <row r="434" spans="1:12" ht="15" customHeight="1" x14ac:dyDescent="0.2">
      <c r="A434" s="50">
        <v>46179</v>
      </c>
      <c r="F434" s="7" t="str">
        <f>IFERROR(VLOOKUP(G434, data!A:B, 2, FALSE), "Tienda")</f>
        <v>SC ENSENADA CENTRO</v>
      </c>
      <c r="G434" s="46">
        <v>2947</v>
      </c>
      <c r="H434" s="48">
        <v>701</v>
      </c>
      <c r="I434" s="47" t="s">
        <v>12</v>
      </c>
      <c r="J434" s="49">
        <v>10</v>
      </c>
      <c r="K434" s="8">
        <f>IFERROR(VLOOKUP(I434, data!E:F, 2, FALSE), "Precio Unidad")</f>
        <v>95</v>
      </c>
      <c r="L434" s="9">
        <f t="shared" si="7"/>
        <v>950</v>
      </c>
    </row>
    <row r="435" spans="1:12" ht="15" customHeight="1" x14ac:dyDescent="0.2">
      <c r="A435" s="50">
        <v>46179</v>
      </c>
      <c r="F435" s="7" t="str">
        <f>IFERROR(VLOOKUP(G435, data!A:B, 2, FALSE), "Tienda")</f>
        <v>SC ENSENADA CENTRO</v>
      </c>
      <c r="G435" s="46">
        <v>2947</v>
      </c>
      <c r="H435" s="48">
        <v>701</v>
      </c>
      <c r="I435" s="47" t="s">
        <v>13</v>
      </c>
      <c r="J435" s="49">
        <v>10</v>
      </c>
      <c r="K435" s="8">
        <f>IFERROR(VLOOKUP(I435, data!E:F, 2, FALSE), "Precio Unidad")</f>
        <v>63</v>
      </c>
      <c r="L435" s="9">
        <f t="shared" si="7"/>
        <v>630</v>
      </c>
    </row>
    <row r="436" spans="1:12" ht="15" customHeight="1" x14ac:dyDescent="0.2">
      <c r="A436" s="50">
        <v>46179</v>
      </c>
      <c r="F436" s="7" t="str">
        <f>IFERROR(VLOOKUP(G436, data!A:B, 2, FALSE), "Tienda")</f>
        <v>SC MEXICALI</v>
      </c>
      <c r="G436" s="46">
        <v>2304</v>
      </c>
      <c r="H436" s="48">
        <v>702</v>
      </c>
      <c r="I436" s="47" t="s">
        <v>6</v>
      </c>
      <c r="J436" s="49">
        <v>8</v>
      </c>
      <c r="K436" s="8">
        <f>IFERROR(VLOOKUP(I436, data!E:F, 2, FALSE), "Precio Unidad")</f>
        <v>167</v>
      </c>
      <c r="L436" s="9">
        <f t="shared" si="7"/>
        <v>1336</v>
      </c>
    </row>
    <row r="437" spans="1:12" ht="15" customHeight="1" x14ac:dyDescent="0.2">
      <c r="A437" s="50">
        <v>46179</v>
      </c>
      <c r="F437" s="7" t="str">
        <f>IFERROR(VLOOKUP(G437, data!A:B, 2, FALSE), "Tienda")</f>
        <v>SC MEXICALI</v>
      </c>
      <c r="G437" s="46">
        <v>2304</v>
      </c>
      <c r="H437" s="48">
        <v>702</v>
      </c>
      <c r="I437" s="47" t="s">
        <v>10</v>
      </c>
      <c r="J437" s="49">
        <v>8</v>
      </c>
      <c r="K437" s="8">
        <f>IFERROR(VLOOKUP(I437, data!E:F, 2, FALSE), "Precio Unidad")</f>
        <v>151</v>
      </c>
      <c r="L437" s="9">
        <f t="shared" si="7"/>
        <v>1208</v>
      </c>
    </row>
    <row r="438" spans="1:12" ht="15" customHeight="1" x14ac:dyDescent="0.2">
      <c r="A438" s="50">
        <v>46179</v>
      </c>
      <c r="F438" s="7" t="str">
        <f>IFERROR(VLOOKUP(G438, data!A:B, 2, FALSE), "Tienda")</f>
        <v>SC MEXICALI</v>
      </c>
      <c r="G438" s="46">
        <v>2304</v>
      </c>
      <c r="H438" s="48">
        <v>702</v>
      </c>
      <c r="I438" s="47" t="s">
        <v>12</v>
      </c>
      <c r="J438" s="49">
        <v>10</v>
      </c>
      <c r="K438" s="8">
        <f>IFERROR(VLOOKUP(I438, data!E:F, 2, FALSE), "Precio Unidad")</f>
        <v>95</v>
      </c>
      <c r="L438" s="9">
        <f t="shared" si="7"/>
        <v>950</v>
      </c>
    </row>
    <row r="439" spans="1:12" ht="15" customHeight="1" x14ac:dyDescent="0.2">
      <c r="A439" s="50">
        <v>46179</v>
      </c>
      <c r="F439" s="7" t="str">
        <f>IFERROR(VLOOKUP(G439, data!A:B, 2, FALSE), "Tienda")</f>
        <v>SC MEXICALI</v>
      </c>
      <c r="G439" s="46">
        <v>2304</v>
      </c>
      <c r="H439" s="48">
        <v>702</v>
      </c>
      <c r="I439" s="47" t="s">
        <v>13</v>
      </c>
      <c r="J439" s="49">
        <v>10</v>
      </c>
      <c r="K439" s="8">
        <f>IFERROR(VLOOKUP(I439, data!E:F, 2, FALSE), "Precio Unidad")</f>
        <v>63</v>
      </c>
      <c r="L439" s="9">
        <f t="shared" si="7"/>
        <v>630</v>
      </c>
    </row>
    <row r="440" spans="1:12" ht="15" customHeight="1" x14ac:dyDescent="0.2">
      <c r="A440" s="50">
        <v>46179</v>
      </c>
      <c r="F440" s="7" t="str">
        <f>IFERROR(VLOOKUP(G440, data!A:B, 2, FALSE), "Tienda")</f>
        <v>SC MEXICALI NOVENA</v>
      </c>
      <c r="G440" s="46">
        <v>1617</v>
      </c>
      <c r="H440" s="48">
        <v>703</v>
      </c>
      <c r="I440" s="47" t="s">
        <v>6</v>
      </c>
      <c r="J440" s="49">
        <v>8</v>
      </c>
      <c r="K440" s="8">
        <f>IFERROR(VLOOKUP(I440, data!E:F, 2, FALSE), "Precio Unidad")</f>
        <v>167</v>
      </c>
      <c r="L440" s="9">
        <f t="shared" si="7"/>
        <v>1336</v>
      </c>
    </row>
    <row r="441" spans="1:12" ht="15" customHeight="1" x14ac:dyDescent="0.2">
      <c r="A441" s="50">
        <v>46179</v>
      </c>
      <c r="F441" s="7" t="str">
        <f>IFERROR(VLOOKUP(G441, data!A:B, 2, FALSE), "Tienda")</f>
        <v>SC MEXICALI NOVENA</v>
      </c>
      <c r="G441" s="46">
        <v>1617</v>
      </c>
      <c r="H441" s="48">
        <v>703</v>
      </c>
      <c r="I441" s="47" t="s">
        <v>7</v>
      </c>
      <c r="J441" s="49">
        <v>10</v>
      </c>
      <c r="K441" s="8">
        <f>IFERROR(VLOOKUP(I441, data!E:F, 2, FALSE), "Precio Unidad")</f>
        <v>113</v>
      </c>
      <c r="L441" s="9">
        <f t="shared" si="7"/>
        <v>1130</v>
      </c>
    </row>
    <row r="442" spans="1:12" ht="15" customHeight="1" x14ac:dyDescent="0.2">
      <c r="A442" s="50">
        <v>46179</v>
      </c>
      <c r="F442" s="7" t="str">
        <f>IFERROR(VLOOKUP(G442, data!A:B, 2, FALSE), "Tienda")</f>
        <v>SC MEXICALI NOVENA</v>
      </c>
      <c r="G442" s="46">
        <v>1617</v>
      </c>
      <c r="H442" s="48">
        <v>703</v>
      </c>
      <c r="I442" s="47" t="s">
        <v>11</v>
      </c>
      <c r="J442" s="49">
        <v>8</v>
      </c>
      <c r="K442" s="8">
        <f>IFERROR(VLOOKUP(I442, data!E:F, 2, FALSE), "Precio Unidad")</f>
        <v>177</v>
      </c>
      <c r="L442" s="9">
        <f t="shared" si="7"/>
        <v>1416</v>
      </c>
    </row>
    <row r="443" spans="1:12" ht="15" customHeight="1" x14ac:dyDescent="0.2">
      <c r="A443" s="50">
        <v>46179</v>
      </c>
      <c r="F443" s="7" t="str">
        <f>IFERROR(VLOOKUP(G443, data!A:B, 2, FALSE), "Tienda")</f>
        <v>SC MEXICALI NOVENA</v>
      </c>
      <c r="G443" s="46">
        <v>1617</v>
      </c>
      <c r="H443" s="48">
        <v>703</v>
      </c>
      <c r="I443" s="47" t="s">
        <v>12</v>
      </c>
      <c r="J443" s="49">
        <v>10</v>
      </c>
      <c r="K443" s="8">
        <f>IFERROR(VLOOKUP(I443, data!E:F, 2, FALSE), "Precio Unidad")</f>
        <v>95</v>
      </c>
      <c r="L443" s="9">
        <f t="shared" si="7"/>
        <v>950</v>
      </c>
    </row>
    <row r="444" spans="1:12" ht="15" customHeight="1" x14ac:dyDescent="0.2">
      <c r="A444" s="50">
        <v>46179</v>
      </c>
      <c r="F444" s="7" t="str">
        <f>IFERROR(VLOOKUP(G444, data!A:B, 2, FALSE), "Tienda")</f>
        <v>SC MEXICALI NOVENA</v>
      </c>
      <c r="G444" s="46">
        <v>1617</v>
      </c>
      <c r="H444" s="48">
        <v>703</v>
      </c>
      <c r="I444" s="47" t="s">
        <v>13</v>
      </c>
      <c r="J444" s="49">
        <v>10</v>
      </c>
      <c r="K444" s="8">
        <f>IFERROR(VLOOKUP(I444, data!E:F, 2, FALSE), "Precio Unidad")</f>
        <v>63</v>
      </c>
      <c r="L444" s="9">
        <f t="shared" si="7"/>
        <v>630</v>
      </c>
    </row>
    <row r="445" spans="1:12" ht="15" customHeight="1" x14ac:dyDescent="0.2">
      <c r="A445" s="50">
        <v>46181</v>
      </c>
      <c r="F445" s="7" t="str">
        <f>IFERROR(VLOOKUP(G445, data!A:B, 2, FALSE), "Tienda")</f>
        <v>SC PLAZA SAN PEDRO</v>
      </c>
      <c r="G445" s="46">
        <v>1140</v>
      </c>
      <c r="H445" s="48">
        <v>704</v>
      </c>
      <c r="I445" s="47" t="s">
        <v>6</v>
      </c>
      <c r="J445" s="49">
        <v>8</v>
      </c>
      <c r="K445" s="8">
        <f>IFERROR(VLOOKUP(I445, data!E:F, 2, FALSE), "Precio Unidad")</f>
        <v>167</v>
      </c>
      <c r="L445" s="9">
        <f t="shared" si="7"/>
        <v>1336</v>
      </c>
    </row>
    <row r="446" spans="1:12" ht="15" customHeight="1" x14ac:dyDescent="0.2">
      <c r="A446" s="50">
        <v>46181</v>
      </c>
      <c r="F446" s="7" t="str">
        <f>IFERROR(VLOOKUP(G446, data!A:B, 2, FALSE), "Tienda")</f>
        <v>SC PLAZA SAN PEDRO</v>
      </c>
      <c r="G446" s="46">
        <v>1140</v>
      </c>
      <c r="H446" s="48">
        <v>704</v>
      </c>
      <c r="I446" s="47" t="s">
        <v>11</v>
      </c>
      <c r="J446" s="49">
        <v>8</v>
      </c>
      <c r="K446" s="8">
        <f>IFERROR(VLOOKUP(I446, data!E:F, 2, FALSE), "Precio Unidad")</f>
        <v>177</v>
      </c>
      <c r="L446" s="9">
        <f t="shared" si="7"/>
        <v>1416</v>
      </c>
    </row>
    <row r="447" spans="1:12" ht="15" customHeight="1" x14ac:dyDescent="0.2">
      <c r="A447" s="50">
        <v>46181</v>
      </c>
      <c r="F447" s="7" t="str">
        <f>IFERROR(VLOOKUP(G447, data!A:B, 2, FALSE), "Tienda")</f>
        <v>SC PLAZA SAN PEDRO</v>
      </c>
      <c r="G447" s="46">
        <v>1140</v>
      </c>
      <c r="H447" s="48">
        <v>704</v>
      </c>
      <c r="I447" s="47" t="s">
        <v>13</v>
      </c>
      <c r="J447" s="49">
        <v>10</v>
      </c>
      <c r="K447" s="8">
        <f>IFERROR(VLOOKUP(I447, data!E:F, 2, FALSE), "Precio Unidad")</f>
        <v>63</v>
      </c>
      <c r="L447" s="9">
        <f t="shared" si="7"/>
        <v>630</v>
      </c>
    </row>
    <row r="448" spans="1:12" ht="15" customHeight="1" x14ac:dyDescent="0.2">
      <c r="A448" s="50">
        <v>46181</v>
      </c>
      <c r="F448" s="7" t="str">
        <f>IFERROR(VLOOKUP(G448, data!A:B, 2, FALSE), "Tienda")</f>
        <v>SC TECATE GARITA</v>
      </c>
      <c r="G448" s="46">
        <v>5295</v>
      </c>
      <c r="H448" s="48">
        <v>705</v>
      </c>
      <c r="I448" s="47" t="s">
        <v>12</v>
      </c>
      <c r="J448" s="49">
        <v>10</v>
      </c>
      <c r="K448" s="8">
        <f>IFERROR(VLOOKUP(I448, data!E:F, 2, FALSE), "Precio Unidad")</f>
        <v>95</v>
      </c>
      <c r="L448" s="9">
        <f t="shared" si="7"/>
        <v>950</v>
      </c>
    </row>
    <row r="449" spans="1:12" ht="15" customHeight="1" x14ac:dyDescent="0.2">
      <c r="A449" s="50">
        <v>46181</v>
      </c>
      <c r="F449" s="7" t="str">
        <f>IFERROR(VLOOKUP(G449, data!A:B, 2, FALSE), "Tienda")</f>
        <v>SC TECATE GARITA</v>
      </c>
      <c r="G449" s="46">
        <v>5295</v>
      </c>
      <c r="H449" s="48">
        <v>705</v>
      </c>
      <c r="I449" s="47" t="s">
        <v>13</v>
      </c>
      <c r="J449" s="49">
        <v>9</v>
      </c>
      <c r="K449" s="8">
        <f>IFERROR(VLOOKUP(I449, data!E:F, 2, FALSE), "Precio Unidad")</f>
        <v>63</v>
      </c>
      <c r="L449" s="9">
        <f t="shared" si="7"/>
        <v>567</v>
      </c>
    </row>
    <row r="450" spans="1:12" ht="15" customHeight="1" x14ac:dyDescent="0.2">
      <c r="A450" s="50">
        <v>46181</v>
      </c>
      <c r="F450" s="7" t="str">
        <f>IFERROR(VLOOKUP(G450, data!A:B, 2, FALSE), "Tienda")</f>
        <v>SC ROSARITO</v>
      </c>
      <c r="G450" s="46">
        <v>4187</v>
      </c>
      <c r="H450" s="48">
        <v>706</v>
      </c>
      <c r="I450" s="47" t="s">
        <v>12</v>
      </c>
      <c r="J450" s="49">
        <v>10</v>
      </c>
      <c r="K450" s="8">
        <f>IFERROR(VLOOKUP(I450, data!E:F, 2, FALSE), "Precio Unidad")</f>
        <v>95</v>
      </c>
      <c r="L450" s="9">
        <f t="shared" si="7"/>
        <v>950</v>
      </c>
    </row>
    <row r="451" spans="1:12" ht="15" customHeight="1" x14ac:dyDescent="0.2">
      <c r="A451" s="50">
        <v>46181</v>
      </c>
      <c r="F451" s="7" t="str">
        <f>IFERROR(VLOOKUP(G451, data!A:B, 2, FALSE), "Tienda")</f>
        <v>SC ROSARITO</v>
      </c>
      <c r="G451" s="46">
        <v>4187</v>
      </c>
      <c r="H451" s="48">
        <v>706</v>
      </c>
      <c r="I451" s="47" t="s">
        <v>13</v>
      </c>
      <c r="J451" s="49">
        <v>10</v>
      </c>
      <c r="K451" s="8">
        <f>IFERROR(VLOOKUP(I451, data!E:F, 2, FALSE), "Precio Unidad")</f>
        <v>63</v>
      </c>
      <c r="L451" s="9">
        <f t="shared" si="7"/>
        <v>630</v>
      </c>
    </row>
    <row r="452" spans="1:12" ht="15" customHeight="1" x14ac:dyDescent="0.2">
      <c r="A452" s="50">
        <v>46181</v>
      </c>
      <c r="F452" s="7" t="str">
        <f>IFERROR(VLOOKUP(G452, data!A:B, 2, FALSE), "Tienda")</f>
        <v>SC DIAZ ORDAZ</v>
      </c>
      <c r="G452" s="46">
        <v>3664</v>
      </c>
      <c r="H452" s="48">
        <v>707</v>
      </c>
      <c r="I452" s="47" t="s">
        <v>10</v>
      </c>
      <c r="J452" s="49">
        <v>8</v>
      </c>
      <c r="K452" s="8">
        <f>IFERROR(VLOOKUP(I452, data!E:F, 2, FALSE), "Precio Unidad")</f>
        <v>151</v>
      </c>
      <c r="L452" s="9">
        <f t="shared" si="7"/>
        <v>1208</v>
      </c>
    </row>
    <row r="453" spans="1:12" ht="15" customHeight="1" x14ac:dyDescent="0.2">
      <c r="A453" s="50">
        <v>46181</v>
      </c>
      <c r="F453" s="7" t="str">
        <f>IFERROR(VLOOKUP(G453, data!A:B, 2, FALSE), "Tienda")</f>
        <v>SC DIAZ ORDAZ</v>
      </c>
      <c r="G453" s="46">
        <v>3664</v>
      </c>
      <c r="H453" s="48">
        <v>707</v>
      </c>
      <c r="I453" s="47" t="s">
        <v>12</v>
      </c>
      <c r="J453" s="49">
        <v>10</v>
      </c>
      <c r="K453" s="8">
        <f>IFERROR(VLOOKUP(I453, data!E:F, 2, FALSE), "Precio Unidad")</f>
        <v>95</v>
      </c>
      <c r="L453" s="9">
        <f t="shared" si="7"/>
        <v>950</v>
      </c>
    </row>
    <row r="454" spans="1:12" ht="15" customHeight="1" x14ac:dyDescent="0.2">
      <c r="A454" s="50">
        <v>46181</v>
      </c>
      <c r="F454" s="7" t="str">
        <f>IFERROR(VLOOKUP(G454, data!A:B, 2, FALSE), "Tienda")</f>
        <v>SC DIAZ ORDAZ</v>
      </c>
      <c r="G454" s="46">
        <v>3664</v>
      </c>
      <c r="H454" s="48">
        <v>707</v>
      </c>
      <c r="I454" s="47" t="s">
        <v>13</v>
      </c>
      <c r="J454" s="49">
        <v>10</v>
      </c>
      <c r="K454" s="8">
        <f>IFERROR(VLOOKUP(I454, data!E:F, 2, FALSE), "Precio Unidad")</f>
        <v>63</v>
      </c>
      <c r="L454" s="9">
        <f t="shared" si="7"/>
        <v>630</v>
      </c>
    </row>
    <row r="455" spans="1:12" ht="15" customHeight="1" x14ac:dyDescent="0.2">
      <c r="A455" s="50">
        <v>46181</v>
      </c>
      <c r="F455" s="7" t="str">
        <f>IFERROR(VLOOKUP(G455, data!A:B, 2, FALSE), "Tienda")</f>
        <v>SC MACROPLAZA INSURGENTES</v>
      </c>
      <c r="G455" s="46">
        <v>2023</v>
      </c>
      <c r="H455" s="48">
        <v>708</v>
      </c>
      <c r="I455" s="47" t="s">
        <v>10</v>
      </c>
      <c r="J455" s="49">
        <v>8</v>
      </c>
      <c r="K455" s="8">
        <f>IFERROR(VLOOKUP(I455, data!E:F, 2, FALSE), "Precio Unidad")</f>
        <v>151</v>
      </c>
      <c r="L455" s="9">
        <f t="shared" si="7"/>
        <v>1208</v>
      </c>
    </row>
    <row r="456" spans="1:12" ht="15" customHeight="1" x14ac:dyDescent="0.2">
      <c r="A456" s="50">
        <v>46181</v>
      </c>
      <c r="F456" s="7" t="str">
        <f>IFERROR(VLOOKUP(G456, data!A:B, 2, FALSE), "Tienda")</f>
        <v>SC MACROPLAZA INSURGENTES</v>
      </c>
      <c r="G456" s="46">
        <v>2023</v>
      </c>
      <c r="H456" s="48">
        <v>708</v>
      </c>
      <c r="I456" s="47" t="s">
        <v>13</v>
      </c>
      <c r="J456" s="49">
        <v>10</v>
      </c>
      <c r="K456" s="8">
        <f>IFERROR(VLOOKUP(I456, data!E:F, 2, FALSE), "Precio Unidad")</f>
        <v>63</v>
      </c>
      <c r="L456" s="9">
        <f t="shared" si="7"/>
        <v>630</v>
      </c>
    </row>
    <row r="457" spans="1:12" ht="15" customHeight="1" x14ac:dyDescent="0.2">
      <c r="A457" s="50">
        <v>46181</v>
      </c>
      <c r="F457" s="7" t="str">
        <f>IFERROR(VLOOKUP(G457, data!A:B, 2, FALSE), "Tienda")</f>
        <v>SC LOMAS DE SANTA FE</v>
      </c>
      <c r="G457" s="46">
        <v>190</v>
      </c>
      <c r="H457" s="48">
        <v>709</v>
      </c>
      <c r="I457" s="47" t="s">
        <v>10</v>
      </c>
      <c r="J457" s="49">
        <v>8</v>
      </c>
      <c r="K457" s="8">
        <f>IFERROR(VLOOKUP(I457, data!E:F, 2, FALSE), "Precio Unidad")</f>
        <v>151</v>
      </c>
      <c r="L457" s="9">
        <f t="shared" si="7"/>
        <v>1208</v>
      </c>
    </row>
    <row r="458" spans="1:12" ht="15" customHeight="1" x14ac:dyDescent="0.2">
      <c r="A458" s="50">
        <v>46181</v>
      </c>
      <c r="F458" s="7" t="str">
        <f>IFERROR(VLOOKUP(G458, data!A:B, 2, FALSE), "Tienda")</f>
        <v>SC LOMAS DE SANTA FE</v>
      </c>
      <c r="G458" s="46">
        <v>190</v>
      </c>
      <c r="H458" s="48">
        <v>709</v>
      </c>
      <c r="I458" s="47" t="s">
        <v>13</v>
      </c>
      <c r="J458" s="49">
        <v>10</v>
      </c>
      <c r="K458" s="8">
        <f>IFERROR(VLOOKUP(I458, data!E:F, 2, FALSE), "Precio Unidad")</f>
        <v>63</v>
      </c>
      <c r="L458" s="9">
        <f t="shared" si="7"/>
        <v>630</v>
      </c>
    </row>
    <row r="459" spans="1:12" ht="15" customHeight="1" x14ac:dyDescent="0.2">
      <c r="A459" s="50">
        <v>46181</v>
      </c>
      <c r="F459" s="7" t="str">
        <f>IFERROR(VLOOKUP(G459, data!A:B, 2, FALSE), "Tienda")</f>
        <v>SC PACIFICO</v>
      </c>
      <c r="G459" s="46">
        <v>1616</v>
      </c>
      <c r="H459" s="48">
        <v>710</v>
      </c>
      <c r="I459" s="47" t="s">
        <v>12</v>
      </c>
      <c r="J459" s="49">
        <v>10</v>
      </c>
      <c r="K459" s="8">
        <f>IFERROR(VLOOKUP(I459, data!E:F, 2, FALSE), "Precio Unidad")</f>
        <v>95</v>
      </c>
      <c r="L459" s="9">
        <f t="shared" si="7"/>
        <v>950</v>
      </c>
    </row>
    <row r="460" spans="1:12" ht="15" customHeight="1" x14ac:dyDescent="0.2">
      <c r="A460" s="50">
        <v>46181</v>
      </c>
      <c r="F460" s="7" t="str">
        <f>IFERROR(VLOOKUP(G460, data!A:B, 2, FALSE), "Tienda")</f>
        <v>SC PACIFICO</v>
      </c>
      <c r="G460" s="46">
        <v>1616</v>
      </c>
      <c r="H460" s="48">
        <v>710</v>
      </c>
      <c r="I460" s="47" t="s">
        <v>13</v>
      </c>
      <c r="J460" s="49">
        <v>10</v>
      </c>
      <c r="K460" s="8">
        <f>IFERROR(VLOOKUP(I460, data!E:F, 2, FALSE), "Precio Unidad")</f>
        <v>63</v>
      </c>
      <c r="L460" s="9">
        <f t="shared" si="7"/>
        <v>630</v>
      </c>
    </row>
    <row r="461" spans="1:12" ht="15" customHeight="1" x14ac:dyDescent="0.2">
      <c r="A461" s="50">
        <v>46181</v>
      </c>
      <c r="F461" s="7" t="str">
        <f>IFERROR(VLOOKUP(G461, data!A:B, 2, FALSE), "Tienda")</f>
        <v>SC PLAYAS DE TIJUANA</v>
      </c>
      <c r="G461" s="46">
        <v>1613</v>
      </c>
      <c r="H461" s="48">
        <v>711</v>
      </c>
      <c r="I461" s="47" t="s">
        <v>11</v>
      </c>
      <c r="J461" s="49">
        <v>8</v>
      </c>
      <c r="K461" s="8">
        <f>IFERROR(VLOOKUP(I461, data!E:F, 2, FALSE), "Precio Unidad")</f>
        <v>177</v>
      </c>
      <c r="L461" s="9">
        <f t="shared" si="7"/>
        <v>1416</v>
      </c>
    </row>
    <row r="462" spans="1:12" ht="15" customHeight="1" x14ac:dyDescent="0.2">
      <c r="A462" s="14">
        <v>46182</v>
      </c>
      <c r="F462" s="7" t="str">
        <f>IFERROR(VLOOKUP(G462, data!A:B, 2, FALSE), "Tienda")</f>
        <v>SC TIJUANA HIPODROMO</v>
      </c>
      <c r="G462" s="1">
        <v>4011</v>
      </c>
      <c r="H462" s="2">
        <v>712</v>
      </c>
      <c r="I462" s="3" t="s">
        <v>6</v>
      </c>
      <c r="J462" s="4">
        <v>4</v>
      </c>
      <c r="K462" s="8">
        <f>IFERROR(VLOOKUP(I462, data!E:F, 2, FALSE), "Precio Unidad")</f>
        <v>167</v>
      </c>
      <c r="L462" s="9">
        <f t="shared" si="7"/>
        <v>668</v>
      </c>
    </row>
    <row r="463" spans="1:12" ht="15" customHeight="1" x14ac:dyDescent="0.2">
      <c r="A463" s="14">
        <v>46182</v>
      </c>
      <c r="F463" s="7" t="str">
        <f>IFERROR(VLOOKUP(G463, data!A:B, 2, FALSE), "Tienda")</f>
        <v>SC TIJUANA HIPODROMO</v>
      </c>
      <c r="G463" s="1">
        <v>4011</v>
      </c>
      <c r="H463" s="2">
        <v>712</v>
      </c>
      <c r="I463" s="3" t="s">
        <v>7</v>
      </c>
      <c r="J463" s="4">
        <v>6</v>
      </c>
      <c r="K463" s="8">
        <f>IFERROR(VLOOKUP(I463, data!E:F, 2, FALSE), "Precio Unidad")</f>
        <v>113</v>
      </c>
      <c r="L463" s="9">
        <f t="shared" si="7"/>
        <v>678</v>
      </c>
    </row>
    <row r="464" spans="1:12" ht="15" customHeight="1" x14ac:dyDescent="0.2">
      <c r="A464" s="14">
        <v>46182</v>
      </c>
      <c r="F464" s="7" t="str">
        <f>IFERROR(VLOOKUP(G464, data!A:B, 2, FALSE), "Tienda")</f>
        <v>SC TIJUANA HIPODROMO</v>
      </c>
      <c r="G464" s="1">
        <v>4011</v>
      </c>
      <c r="H464" s="2">
        <v>712</v>
      </c>
      <c r="I464" s="3" t="s">
        <v>12</v>
      </c>
      <c r="J464" s="4">
        <v>10</v>
      </c>
      <c r="K464" s="8">
        <f>IFERROR(VLOOKUP(I464, data!E:F, 2, FALSE), "Precio Unidad")</f>
        <v>95</v>
      </c>
      <c r="L464" s="9">
        <f t="shared" si="7"/>
        <v>950</v>
      </c>
    </row>
    <row r="465" spans="1:12" ht="15" customHeight="1" x14ac:dyDescent="0.2">
      <c r="A465" s="14">
        <v>46182</v>
      </c>
      <c r="F465" s="7" t="str">
        <f>IFERROR(VLOOKUP(G465, data!A:B, 2, FALSE), "Tienda")</f>
        <v>SC TIJUANA HIPODROMO</v>
      </c>
      <c r="G465" s="1">
        <v>4011</v>
      </c>
      <c r="H465" s="2">
        <v>712</v>
      </c>
      <c r="I465" s="3" t="s">
        <v>13</v>
      </c>
      <c r="J465" s="4">
        <v>10</v>
      </c>
      <c r="K465" s="8">
        <f>IFERROR(VLOOKUP(I465, data!E:F, 2, FALSE), "Precio Unidad")</f>
        <v>63</v>
      </c>
      <c r="L465" s="9">
        <f t="shared" si="7"/>
        <v>630</v>
      </c>
    </row>
    <row r="466" spans="1:12" ht="15" customHeight="1" x14ac:dyDescent="0.2">
      <c r="A466" s="14">
        <v>46182</v>
      </c>
      <c r="F466" s="7" t="str">
        <f>IFERROR(VLOOKUP(G466, data!A:B, 2, FALSE), "Tienda")</f>
        <v>SC TIJUANA 2000</v>
      </c>
      <c r="G466" s="1">
        <v>4155</v>
      </c>
      <c r="H466" s="2">
        <v>713</v>
      </c>
      <c r="I466" s="3" t="s">
        <v>10</v>
      </c>
      <c r="J466" s="4">
        <v>8</v>
      </c>
      <c r="K466" s="8">
        <f>IFERROR(VLOOKUP(I466, data!E:F, 2, FALSE), "Precio Unidad")</f>
        <v>151</v>
      </c>
      <c r="L466" s="9">
        <f t="shared" si="7"/>
        <v>1208</v>
      </c>
    </row>
    <row r="467" spans="1:12" ht="15" customHeight="1" x14ac:dyDescent="0.2">
      <c r="A467" s="14">
        <v>46182</v>
      </c>
      <c r="F467" s="7" t="str">
        <f>IFERROR(VLOOKUP(G467, data!A:B, 2, FALSE), "Tienda")</f>
        <v>SC TIJUANA 2000</v>
      </c>
      <c r="G467" s="1">
        <v>4155</v>
      </c>
      <c r="H467" s="2">
        <v>713</v>
      </c>
      <c r="I467" s="3" t="s">
        <v>13</v>
      </c>
      <c r="J467" s="4">
        <v>10</v>
      </c>
      <c r="K467" s="8">
        <f>IFERROR(VLOOKUP(I467, data!E:F, 2, FALSE), "Precio Unidad")</f>
        <v>63</v>
      </c>
      <c r="L467" s="9">
        <f t="shared" si="7"/>
        <v>630</v>
      </c>
    </row>
    <row r="468" spans="1:12" ht="15" customHeight="1" x14ac:dyDescent="0.2">
      <c r="A468" s="14">
        <v>46183</v>
      </c>
      <c r="F468" s="7" t="str">
        <f>IFERROR(VLOOKUP(G468, data!A:B, 2, FALSE), "Tienda")</f>
        <v>SC TECATE GARITA</v>
      </c>
      <c r="G468" s="1">
        <v>5295</v>
      </c>
      <c r="H468" s="2">
        <v>714</v>
      </c>
      <c r="I468" s="3" t="s">
        <v>6</v>
      </c>
      <c r="J468" s="4">
        <v>4</v>
      </c>
      <c r="K468" s="8">
        <f>IFERROR(VLOOKUP(I468, data!E:F, 2, FALSE), "Precio Unidad")</f>
        <v>167</v>
      </c>
      <c r="L468" s="9">
        <f t="shared" ref="L468:L528" si="8">K468*J468</f>
        <v>668</v>
      </c>
    </row>
    <row r="469" spans="1:12" ht="15" customHeight="1" x14ac:dyDescent="0.2">
      <c r="A469" s="14">
        <v>46183</v>
      </c>
      <c r="F469" s="7" t="str">
        <f>IFERROR(VLOOKUP(G469, data!A:B, 2, FALSE), "Tienda")</f>
        <v>SC TECATE GARITA</v>
      </c>
      <c r="G469" s="1">
        <v>5295</v>
      </c>
      <c r="H469" s="2">
        <v>714</v>
      </c>
      <c r="I469" s="3" t="s">
        <v>7</v>
      </c>
      <c r="J469" s="4">
        <v>6</v>
      </c>
      <c r="K469" s="8">
        <f>IFERROR(VLOOKUP(I469, data!E:F, 2, FALSE), "Precio Unidad")</f>
        <v>113</v>
      </c>
      <c r="L469" s="9">
        <f t="shared" si="8"/>
        <v>678</v>
      </c>
    </row>
    <row r="470" spans="1:12" ht="15" customHeight="1" x14ac:dyDescent="0.2">
      <c r="A470" s="14">
        <v>46183</v>
      </c>
      <c r="F470" s="7" t="str">
        <f>IFERROR(VLOOKUP(G470, data!A:B, 2, FALSE), "Tienda")</f>
        <v>SC TECATE GARITA</v>
      </c>
      <c r="G470" s="1">
        <v>5295</v>
      </c>
      <c r="H470" s="2">
        <v>714</v>
      </c>
      <c r="I470" s="3" t="s">
        <v>10</v>
      </c>
      <c r="J470" s="4">
        <v>16</v>
      </c>
      <c r="K470" s="8">
        <f>IFERROR(VLOOKUP(I470, data!E:F, 2, FALSE), "Precio Unidad")</f>
        <v>151</v>
      </c>
      <c r="L470" s="9">
        <f t="shared" si="8"/>
        <v>2416</v>
      </c>
    </row>
    <row r="471" spans="1:12" ht="15" customHeight="1" x14ac:dyDescent="0.2">
      <c r="A471" s="14">
        <v>46183</v>
      </c>
      <c r="F471" s="7" t="str">
        <f>IFERROR(VLOOKUP(G471, data!A:B, 2, FALSE), "Tienda")</f>
        <v>SC TECATE GARITA</v>
      </c>
      <c r="G471" s="1">
        <v>5295</v>
      </c>
      <c r="H471" s="2">
        <v>714</v>
      </c>
      <c r="I471" s="3" t="s">
        <v>13</v>
      </c>
      <c r="J471" s="4">
        <v>10</v>
      </c>
      <c r="K471" s="8">
        <f>IFERROR(VLOOKUP(I471, data!E:F, 2, FALSE), "Precio Unidad")</f>
        <v>63</v>
      </c>
      <c r="L471" s="9">
        <f t="shared" si="8"/>
        <v>630</v>
      </c>
    </row>
    <row r="472" spans="1:12" ht="15" customHeight="1" x14ac:dyDescent="0.2">
      <c r="A472" s="14">
        <v>46183</v>
      </c>
      <c r="F472" s="7" t="str">
        <f>IFERROR(VLOOKUP(G472, data!A:B, 2, FALSE), "Tienda")</f>
        <v>SC ROSARITO</v>
      </c>
      <c r="G472" s="1">
        <v>4187</v>
      </c>
      <c r="H472" s="2">
        <v>715</v>
      </c>
      <c r="I472" s="3" t="s">
        <v>10</v>
      </c>
      <c r="J472" s="4">
        <v>8</v>
      </c>
      <c r="K472" s="8">
        <f>IFERROR(VLOOKUP(I472, data!E:F, 2, FALSE), "Precio Unidad")</f>
        <v>151</v>
      </c>
      <c r="L472" s="9">
        <f t="shared" si="8"/>
        <v>1208</v>
      </c>
    </row>
    <row r="473" spans="1:12" ht="15" customHeight="1" x14ac:dyDescent="0.2">
      <c r="A473" s="14">
        <v>46183</v>
      </c>
      <c r="F473" s="7" t="str">
        <f>IFERROR(VLOOKUP(G473, data!A:B, 2, FALSE), "Tienda")</f>
        <v>SC ROSARITO</v>
      </c>
      <c r="G473" s="1">
        <v>4187</v>
      </c>
      <c r="H473" s="2">
        <v>715</v>
      </c>
      <c r="I473" s="3" t="s">
        <v>12</v>
      </c>
      <c r="J473" s="4">
        <v>10</v>
      </c>
      <c r="K473" s="8">
        <f>IFERROR(VLOOKUP(I473, data!E:F, 2, FALSE), "Precio Unidad")</f>
        <v>95</v>
      </c>
      <c r="L473" s="9">
        <f t="shared" si="8"/>
        <v>950</v>
      </c>
    </row>
    <row r="474" spans="1:12" ht="15" customHeight="1" x14ac:dyDescent="0.2">
      <c r="A474" s="14">
        <v>46183</v>
      </c>
      <c r="F474" s="7" t="str">
        <f>IFERROR(VLOOKUP(G474, data!A:B, 2, FALSE), "Tienda")</f>
        <v>SC ROSARITO</v>
      </c>
      <c r="G474" s="1">
        <v>4187</v>
      </c>
      <c r="H474" s="2">
        <v>715</v>
      </c>
      <c r="I474" s="3" t="s">
        <v>13</v>
      </c>
      <c r="J474" s="4">
        <v>10</v>
      </c>
      <c r="K474" s="8">
        <f>IFERROR(VLOOKUP(I474, data!E:F, 2, FALSE), "Precio Unidad")</f>
        <v>63</v>
      </c>
      <c r="L474" s="9">
        <f t="shared" si="8"/>
        <v>630</v>
      </c>
    </row>
    <row r="475" spans="1:12" ht="15" customHeight="1" x14ac:dyDescent="0.2">
      <c r="A475" s="14">
        <v>46183</v>
      </c>
      <c r="F475" s="7" t="str">
        <f>IFERROR(VLOOKUP(G475, data!A:B, 2, FALSE), "Tienda")</f>
        <v>SC TIJUANA 2000</v>
      </c>
      <c r="G475" s="1">
        <v>4155</v>
      </c>
      <c r="H475" s="2">
        <v>716</v>
      </c>
      <c r="I475" s="3" t="s">
        <v>6</v>
      </c>
      <c r="J475" s="4">
        <v>4</v>
      </c>
      <c r="K475" s="8">
        <f>IFERROR(VLOOKUP(I475, data!E:F, 2, FALSE), "Precio Unidad")</f>
        <v>167</v>
      </c>
      <c r="L475" s="9">
        <f t="shared" si="8"/>
        <v>668</v>
      </c>
    </row>
    <row r="476" spans="1:12" ht="15" customHeight="1" x14ac:dyDescent="0.2">
      <c r="A476" s="14">
        <v>46183</v>
      </c>
      <c r="F476" s="7" t="str">
        <f>IFERROR(VLOOKUP(G476, data!A:B, 2, FALSE), "Tienda")</f>
        <v>SC TIJUANA 2000</v>
      </c>
      <c r="G476" s="1">
        <v>4155</v>
      </c>
      <c r="H476" s="2">
        <v>716</v>
      </c>
      <c r="I476" s="3" t="s">
        <v>7</v>
      </c>
      <c r="J476" s="4">
        <v>6</v>
      </c>
      <c r="K476" s="8">
        <f>IFERROR(VLOOKUP(I476, data!E:F, 2, FALSE), "Precio Unidad")</f>
        <v>113</v>
      </c>
      <c r="L476" s="9">
        <f t="shared" si="8"/>
        <v>678</v>
      </c>
    </row>
    <row r="477" spans="1:12" ht="15" customHeight="1" x14ac:dyDescent="0.2">
      <c r="A477" s="14">
        <v>46183</v>
      </c>
      <c r="F477" s="7" t="str">
        <f>IFERROR(VLOOKUP(G477, data!A:B, 2, FALSE), "Tienda")</f>
        <v>SC TIJUANA 2000</v>
      </c>
      <c r="G477" s="1">
        <v>4155</v>
      </c>
      <c r="H477" s="2">
        <v>716</v>
      </c>
      <c r="I477" s="3" t="s">
        <v>10</v>
      </c>
      <c r="J477" s="4">
        <v>8</v>
      </c>
      <c r="K477" s="8">
        <f>IFERROR(VLOOKUP(I477, data!E:F, 2, FALSE), "Precio Unidad")</f>
        <v>151</v>
      </c>
      <c r="L477" s="9">
        <f t="shared" si="8"/>
        <v>1208</v>
      </c>
    </row>
    <row r="478" spans="1:12" ht="15" customHeight="1" x14ac:dyDescent="0.2">
      <c r="A478" s="14">
        <v>46183</v>
      </c>
      <c r="F478" s="7" t="str">
        <f>IFERROR(VLOOKUP(G478, data!A:B, 2, FALSE), "Tienda")</f>
        <v>SC TIJUANA 2000</v>
      </c>
      <c r="G478" s="1">
        <v>4155</v>
      </c>
      <c r="H478" s="2">
        <v>716</v>
      </c>
      <c r="I478" s="3" t="s">
        <v>12</v>
      </c>
      <c r="J478" s="4">
        <v>10</v>
      </c>
      <c r="K478" s="8">
        <f>IFERROR(VLOOKUP(I478, data!E:F, 2, FALSE), "Precio Unidad")</f>
        <v>95</v>
      </c>
      <c r="L478" s="9">
        <f t="shared" si="8"/>
        <v>950</v>
      </c>
    </row>
    <row r="479" spans="1:12" ht="15" customHeight="1" x14ac:dyDescent="0.2">
      <c r="A479" s="14">
        <v>46183</v>
      </c>
      <c r="F479" s="7" t="str">
        <f>IFERROR(VLOOKUP(G479, data!A:B, 2, FALSE), "Tienda")</f>
        <v>SC TIJUANA 2000</v>
      </c>
      <c r="G479" s="1">
        <v>4155</v>
      </c>
      <c r="H479" s="2">
        <v>716</v>
      </c>
      <c r="I479" s="3" t="s">
        <v>13</v>
      </c>
      <c r="J479" s="4">
        <v>10</v>
      </c>
      <c r="K479" s="8">
        <f>IFERROR(VLOOKUP(I479, data!E:F, 2, FALSE), "Precio Unidad")</f>
        <v>63</v>
      </c>
      <c r="L479" s="9">
        <f t="shared" si="8"/>
        <v>630</v>
      </c>
    </row>
    <row r="480" spans="1:12" ht="15" customHeight="1" x14ac:dyDescent="0.2">
      <c r="A480" s="14">
        <v>46183</v>
      </c>
      <c r="F480" s="7" t="str">
        <f>IFERROR(VLOOKUP(G480, data!A:B, 2, FALSE), "Tienda")</f>
        <v>SC TIJUANA HIPODROMO</v>
      </c>
      <c r="G480" s="1">
        <v>4011</v>
      </c>
      <c r="H480" s="2">
        <v>717</v>
      </c>
      <c r="I480" s="3" t="s">
        <v>10</v>
      </c>
      <c r="J480" s="4">
        <v>8</v>
      </c>
      <c r="K480" s="8">
        <f>IFERROR(VLOOKUP(I480, data!E:F, 2, FALSE), "Precio Unidad")</f>
        <v>151</v>
      </c>
      <c r="L480" s="9">
        <f t="shared" si="8"/>
        <v>1208</v>
      </c>
    </row>
    <row r="481" spans="1:12" ht="15" customHeight="1" x14ac:dyDescent="0.2">
      <c r="A481" s="14">
        <v>46183</v>
      </c>
      <c r="F481" s="7" t="str">
        <f>IFERROR(VLOOKUP(G481, data!A:B, 2, FALSE), "Tienda")</f>
        <v>SC TIJUANA HIPODROMO</v>
      </c>
      <c r="G481" s="1">
        <v>4011</v>
      </c>
      <c r="H481" s="2">
        <v>717</v>
      </c>
      <c r="I481" s="3" t="s">
        <v>13</v>
      </c>
      <c r="J481" s="4">
        <v>10</v>
      </c>
      <c r="K481" s="8">
        <f>IFERROR(VLOOKUP(I481, data!E:F, 2, FALSE), "Precio Unidad")</f>
        <v>63</v>
      </c>
      <c r="L481" s="9">
        <f t="shared" si="8"/>
        <v>630</v>
      </c>
    </row>
    <row r="482" spans="1:12" ht="15" customHeight="1" x14ac:dyDescent="0.2">
      <c r="A482" s="14">
        <v>46183</v>
      </c>
      <c r="F482" s="7" t="str">
        <f>IFERROR(VLOOKUP(G482, data!A:B, 2, FALSE), "Tienda")</f>
        <v>SC DIAZ ORDAZ</v>
      </c>
      <c r="G482" s="1">
        <v>3664</v>
      </c>
      <c r="H482" s="2">
        <v>718</v>
      </c>
      <c r="I482" s="3" t="s">
        <v>6</v>
      </c>
      <c r="J482" s="4">
        <v>4</v>
      </c>
      <c r="K482" s="8">
        <f>IFERROR(VLOOKUP(I482, data!E:F, 2, FALSE), "Precio Unidad")</f>
        <v>167</v>
      </c>
      <c r="L482" s="9">
        <f t="shared" si="8"/>
        <v>668</v>
      </c>
    </row>
    <row r="483" spans="1:12" ht="15" customHeight="1" x14ac:dyDescent="0.2">
      <c r="A483" s="14">
        <v>46183</v>
      </c>
      <c r="F483" s="7" t="str">
        <f>IFERROR(VLOOKUP(G483, data!A:B, 2, FALSE), "Tienda")</f>
        <v>SC DIAZ ORDAZ</v>
      </c>
      <c r="G483" s="1">
        <v>3664</v>
      </c>
      <c r="H483" s="2">
        <v>718</v>
      </c>
      <c r="I483" s="3" t="s">
        <v>7</v>
      </c>
      <c r="J483" s="4">
        <v>6</v>
      </c>
      <c r="K483" s="8">
        <f>IFERROR(VLOOKUP(I483, data!E:F, 2, FALSE), "Precio Unidad")</f>
        <v>113</v>
      </c>
      <c r="L483" s="9">
        <f t="shared" si="8"/>
        <v>678</v>
      </c>
    </row>
    <row r="484" spans="1:12" ht="15" customHeight="1" x14ac:dyDescent="0.2">
      <c r="A484" s="14">
        <v>46183</v>
      </c>
      <c r="F484" s="7" t="str">
        <f>IFERROR(VLOOKUP(G484, data!A:B, 2, FALSE), "Tienda")</f>
        <v>SC DIAZ ORDAZ</v>
      </c>
      <c r="G484" s="1">
        <v>3664</v>
      </c>
      <c r="H484" s="2">
        <v>718</v>
      </c>
      <c r="I484" s="3" t="s">
        <v>10</v>
      </c>
      <c r="J484" s="4">
        <v>8</v>
      </c>
      <c r="K484" s="8">
        <f>IFERROR(VLOOKUP(I484, data!E:F, 2, FALSE), "Precio Unidad")</f>
        <v>151</v>
      </c>
      <c r="L484" s="9">
        <f t="shared" si="8"/>
        <v>1208</v>
      </c>
    </row>
    <row r="485" spans="1:12" ht="15" customHeight="1" x14ac:dyDescent="0.2">
      <c r="A485" s="14">
        <v>46183</v>
      </c>
      <c r="F485" s="7" t="str">
        <f>IFERROR(VLOOKUP(G485, data!A:B, 2, FALSE), "Tienda")</f>
        <v>SC DIAZ ORDAZ</v>
      </c>
      <c r="G485" s="1">
        <v>3664</v>
      </c>
      <c r="H485" s="2">
        <v>718</v>
      </c>
      <c r="I485" s="3" t="s">
        <v>12</v>
      </c>
      <c r="J485" s="4">
        <v>10</v>
      </c>
      <c r="K485" s="8">
        <f>IFERROR(VLOOKUP(I485, data!E:F, 2, FALSE), "Precio Unidad")</f>
        <v>95</v>
      </c>
      <c r="L485" s="9">
        <f t="shared" si="8"/>
        <v>950</v>
      </c>
    </row>
    <row r="486" spans="1:12" ht="15" customHeight="1" x14ac:dyDescent="0.2">
      <c r="A486" s="14">
        <v>46183</v>
      </c>
      <c r="F486" s="7" t="str">
        <f>IFERROR(VLOOKUP(G486, data!A:B, 2, FALSE), "Tienda")</f>
        <v>SC DIAZ ORDAZ</v>
      </c>
      <c r="G486" s="1">
        <v>3664</v>
      </c>
      <c r="H486" s="2">
        <v>718</v>
      </c>
      <c r="I486" s="3" t="s">
        <v>13</v>
      </c>
      <c r="J486" s="4">
        <v>10</v>
      </c>
      <c r="K486" s="8">
        <f>IFERROR(VLOOKUP(I486, data!E:F, 2, FALSE), "Precio Unidad")</f>
        <v>63</v>
      </c>
      <c r="L486" s="9">
        <f t="shared" si="8"/>
        <v>630</v>
      </c>
    </row>
    <row r="487" spans="1:12" ht="15" customHeight="1" x14ac:dyDescent="0.2">
      <c r="A487" s="14">
        <v>46183</v>
      </c>
      <c r="F487" s="7" t="str">
        <f>IFERROR(VLOOKUP(G487, data!A:B, 2, FALSE), "Tienda")</f>
        <v>SC ENSENADA</v>
      </c>
      <c r="G487" s="1">
        <v>3015</v>
      </c>
      <c r="H487" s="2">
        <v>719</v>
      </c>
      <c r="I487" s="3" t="s">
        <v>6</v>
      </c>
      <c r="J487" s="4">
        <v>4</v>
      </c>
      <c r="K487" s="8">
        <f>IFERROR(VLOOKUP(I487, data!E:F, 2, FALSE), "Precio Unidad")</f>
        <v>167</v>
      </c>
      <c r="L487" s="9">
        <f t="shared" si="8"/>
        <v>668</v>
      </c>
    </row>
    <row r="488" spans="1:12" ht="15" customHeight="1" x14ac:dyDescent="0.2">
      <c r="A488" s="14">
        <v>46183</v>
      </c>
      <c r="F488" s="7" t="str">
        <f>IFERROR(VLOOKUP(G488, data!A:B, 2, FALSE), "Tienda")</f>
        <v>SC ENSENADA</v>
      </c>
      <c r="G488" s="1">
        <v>3015</v>
      </c>
      <c r="H488" s="2">
        <v>719</v>
      </c>
      <c r="I488" s="3" t="s">
        <v>7</v>
      </c>
      <c r="J488" s="4">
        <v>6</v>
      </c>
      <c r="K488" s="8">
        <f>IFERROR(VLOOKUP(I488, data!E:F, 2, FALSE), "Precio Unidad")</f>
        <v>113</v>
      </c>
      <c r="L488" s="9">
        <f t="shared" si="8"/>
        <v>678</v>
      </c>
    </row>
    <row r="489" spans="1:12" ht="15" customHeight="1" x14ac:dyDescent="0.2">
      <c r="A489" s="14">
        <v>46183</v>
      </c>
      <c r="F489" s="7" t="str">
        <f>IFERROR(VLOOKUP(G489, data!A:B, 2, FALSE), "Tienda")</f>
        <v>SC ENSENADA</v>
      </c>
      <c r="G489" s="1">
        <v>3015</v>
      </c>
      <c r="H489" s="2">
        <v>719</v>
      </c>
      <c r="I489" s="3" t="s">
        <v>10</v>
      </c>
      <c r="J489" s="4">
        <v>8</v>
      </c>
      <c r="K489" s="8">
        <f>IFERROR(VLOOKUP(I489, data!E:F, 2, FALSE), "Precio Unidad")</f>
        <v>151</v>
      </c>
      <c r="L489" s="9">
        <f t="shared" si="8"/>
        <v>1208</v>
      </c>
    </row>
    <row r="490" spans="1:12" ht="15" customHeight="1" x14ac:dyDescent="0.2">
      <c r="A490" s="14">
        <v>46183</v>
      </c>
      <c r="F490" s="7" t="str">
        <f>IFERROR(VLOOKUP(G490, data!A:B, 2, FALSE), "Tienda")</f>
        <v>SC ENSENADA</v>
      </c>
      <c r="G490" s="1">
        <v>3015</v>
      </c>
      <c r="H490" s="2">
        <v>719</v>
      </c>
      <c r="I490" s="3" t="s">
        <v>13</v>
      </c>
      <c r="J490" s="4">
        <v>10</v>
      </c>
      <c r="K490" s="8">
        <f>IFERROR(VLOOKUP(I490, data!E:F, 2, FALSE), "Precio Unidad")</f>
        <v>63</v>
      </c>
      <c r="L490" s="9">
        <f t="shared" si="8"/>
        <v>630</v>
      </c>
    </row>
    <row r="491" spans="1:12" ht="15" customHeight="1" x14ac:dyDescent="0.2">
      <c r="A491" s="14">
        <v>46183</v>
      </c>
      <c r="F491" s="7" t="str">
        <f>IFERROR(VLOOKUP(G491, data!A:B, 2, FALSE), "Tienda")</f>
        <v>SC ENSENADA CENTRO</v>
      </c>
      <c r="G491" s="1">
        <v>2947</v>
      </c>
      <c r="H491" s="2">
        <v>720</v>
      </c>
      <c r="I491" s="3" t="s">
        <v>6</v>
      </c>
      <c r="J491" s="4">
        <v>4</v>
      </c>
      <c r="K491" s="8">
        <f>IFERROR(VLOOKUP(I491, data!E:F, 2, FALSE), "Precio Unidad")</f>
        <v>167</v>
      </c>
      <c r="L491" s="9">
        <f t="shared" si="8"/>
        <v>668</v>
      </c>
    </row>
    <row r="492" spans="1:12" ht="15" customHeight="1" x14ac:dyDescent="0.2">
      <c r="A492" s="14">
        <v>46183</v>
      </c>
      <c r="F492" s="7" t="str">
        <f>IFERROR(VLOOKUP(G492, data!A:B, 2, FALSE), "Tienda")</f>
        <v>SC ENSENADA CENTRO</v>
      </c>
      <c r="G492" s="1">
        <v>2947</v>
      </c>
      <c r="H492" s="2">
        <v>720</v>
      </c>
      <c r="I492" s="3" t="s">
        <v>7</v>
      </c>
      <c r="J492" s="4">
        <v>6</v>
      </c>
      <c r="K492" s="8">
        <f>IFERROR(VLOOKUP(I492, data!E:F, 2, FALSE), "Precio Unidad")</f>
        <v>113</v>
      </c>
      <c r="L492" s="9">
        <f t="shared" si="8"/>
        <v>678</v>
      </c>
    </row>
    <row r="493" spans="1:12" ht="15" customHeight="1" x14ac:dyDescent="0.2">
      <c r="A493" s="14">
        <v>46183</v>
      </c>
      <c r="F493" s="7" t="str">
        <f>IFERROR(VLOOKUP(G493, data!A:B, 2, FALSE), "Tienda")</f>
        <v>SC ENSENADA CENTRO</v>
      </c>
      <c r="G493" s="1">
        <v>2947</v>
      </c>
      <c r="H493" s="2">
        <v>720</v>
      </c>
      <c r="I493" s="3" t="s">
        <v>10</v>
      </c>
      <c r="J493" s="4">
        <v>8</v>
      </c>
      <c r="K493" s="8">
        <f>IFERROR(VLOOKUP(I493, data!E:F, 2, FALSE), "Precio Unidad")</f>
        <v>151</v>
      </c>
      <c r="L493" s="9">
        <f t="shared" si="8"/>
        <v>1208</v>
      </c>
    </row>
    <row r="494" spans="1:12" ht="15" customHeight="1" x14ac:dyDescent="0.2">
      <c r="A494" s="14">
        <v>46183</v>
      </c>
      <c r="F494" s="7" t="str">
        <f>IFERROR(VLOOKUP(G494, data!A:B, 2, FALSE), "Tienda")</f>
        <v>SC ENSENADA CENTRO</v>
      </c>
      <c r="G494" s="1">
        <v>2947</v>
      </c>
      <c r="H494" s="2">
        <v>720</v>
      </c>
      <c r="I494" s="3" t="s">
        <v>13</v>
      </c>
      <c r="J494" s="4">
        <v>8</v>
      </c>
      <c r="K494" s="8">
        <f>IFERROR(VLOOKUP(I494, data!E:F, 2, FALSE), "Precio Unidad")</f>
        <v>63</v>
      </c>
      <c r="L494" s="9">
        <f t="shared" si="8"/>
        <v>504</v>
      </c>
    </row>
    <row r="495" spans="1:12" ht="15" customHeight="1" x14ac:dyDescent="0.2">
      <c r="A495" s="14">
        <v>46183</v>
      </c>
      <c r="F495" s="7" t="str">
        <f>IFERROR(VLOOKUP(G495, data!A:B, 2, FALSE), "Tienda")</f>
        <v>SC MACROPLAZA INSURGENTES</v>
      </c>
      <c r="G495" s="1">
        <v>2023</v>
      </c>
      <c r="H495" s="2">
        <v>721</v>
      </c>
      <c r="I495" s="3" t="s">
        <v>6</v>
      </c>
      <c r="J495" s="4">
        <v>4</v>
      </c>
      <c r="K495" s="8">
        <f>IFERROR(VLOOKUP(I495, data!E:F, 2, FALSE), "Precio Unidad")</f>
        <v>167</v>
      </c>
      <c r="L495" s="9">
        <f t="shared" si="8"/>
        <v>668</v>
      </c>
    </row>
    <row r="496" spans="1:12" ht="15" customHeight="1" x14ac:dyDescent="0.2">
      <c r="A496" s="14">
        <v>46183</v>
      </c>
      <c r="F496" s="7" t="str">
        <f>IFERROR(VLOOKUP(G496, data!A:B, 2, FALSE), "Tienda")</f>
        <v>SC MACROPLAZA INSURGENTES</v>
      </c>
      <c r="G496" s="1">
        <v>2023</v>
      </c>
      <c r="H496" s="2">
        <v>721</v>
      </c>
      <c r="I496" s="3" t="s">
        <v>7</v>
      </c>
      <c r="J496" s="4">
        <v>6</v>
      </c>
      <c r="K496" s="8">
        <f>IFERROR(VLOOKUP(I496, data!E:F, 2, FALSE), "Precio Unidad")</f>
        <v>113</v>
      </c>
      <c r="L496" s="9">
        <f t="shared" si="8"/>
        <v>678</v>
      </c>
    </row>
    <row r="497" spans="1:12" ht="15" customHeight="1" x14ac:dyDescent="0.2">
      <c r="A497" s="14">
        <v>46183</v>
      </c>
      <c r="F497" s="7" t="str">
        <f>IFERROR(VLOOKUP(G497, data!A:B, 2, FALSE), "Tienda")</f>
        <v>SC MACROPLAZA INSURGENTES</v>
      </c>
      <c r="G497" s="1">
        <v>2023</v>
      </c>
      <c r="H497" s="2">
        <v>721</v>
      </c>
      <c r="I497" s="3" t="s">
        <v>10</v>
      </c>
      <c r="J497" s="4">
        <v>8</v>
      </c>
      <c r="K497" s="8">
        <f>IFERROR(VLOOKUP(I497, data!E:F, 2, FALSE), "Precio Unidad")</f>
        <v>151</v>
      </c>
      <c r="L497" s="9">
        <f t="shared" si="8"/>
        <v>1208</v>
      </c>
    </row>
    <row r="498" spans="1:12" ht="15" customHeight="1" x14ac:dyDescent="0.2">
      <c r="A498" s="14">
        <v>46183</v>
      </c>
      <c r="F498" s="7" t="str">
        <f>IFERROR(VLOOKUP(G498, data!A:B, 2, FALSE), "Tienda")</f>
        <v>SC MACROPLAZA INSURGENTES</v>
      </c>
      <c r="G498" s="1">
        <v>2023</v>
      </c>
      <c r="H498" s="2">
        <v>721</v>
      </c>
      <c r="I498" s="3" t="s">
        <v>12</v>
      </c>
      <c r="J498" s="4">
        <v>10</v>
      </c>
      <c r="K498" s="8">
        <f>IFERROR(VLOOKUP(I498, data!E:F, 2, FALSE), "Precio Unidad")</f>
        <v>95</v>
      </c>
      <c r="L498" s="9">
        <f t="shared" si="8"/>
        <v>950</v>
      </c>
    </row>
    <row r="499" spans="1:12" ht="15" customHeight="1" x14ac:dyDescent="0.2">
      <c r="A499" s="14">
        <v>46183</v>
      </c>
      <c r="F499" s="7" t="str">
        <f>IFERROR(VLOOKUP(G499, data!A:B, 2, FALSE), "Tienda")</f>
        <v>SC MACROPLAZA INSURGENTES</v>
      </c>
      <c r="G499" s="1">
        <v>2023</v>
      </c>
      <c r="H499" s="2">
        <v>721</v>
      </c>
      <c r="I499" s="3" t="s">
        <v>13</v>
      </c>
      <c r="J499" s="4">
        <v>10</v>
      </c>
      <c r="K499" s="8">
        <f>IFERROR(VLOOKUP(I499, data!E:F, 2, FALSE), "Precio Unidad")</f>
        <v>63</v>
      </c>
      <c r="L499" s="9">
        <f t="shared" si="8"/>
        <v>630</v>
      </c>
    </row>
    <row r="500" spans="1:12" ht="15" customHeight="1" x14ac:dyDescent="0.2">
      <c r="A500" s="14">
        <v>46183</v>
      </c>
      <c r="F500" s="7" t="str">
        <f>IFERROR(VLOOKUP(G500, data!A:B, 2, FALSE), "Tienda")</f>
        <v>SC LOMAS DE SANTA FE</v>
      </c>
      <c r="G500" s="1">
        <v>190</v>
      </c>
      <c r="H500" s="2">
        <v>722</v>
      </c>
      <c r="I500" s="3" t="s">
        <v>6</v>
      </c>
      <c r="J500" s="4">
        <v>4</v>
      </c>
      <c r="K500" s="8">
        <f>IFERROR(VLOOKUP(I500, data!E:F, 2, FALSE), "Precio Unidad")</f>
        <v>167</v>
      </c>
      <c r="L500" s="9">
        <f t="shared" si="8"/>
        <v>668</v>
      </c>
    </row>
    <row r="501" spans="1:12" ht="15" customHeight="1" x14ac:dyDescent="0.2">
      <c r="A501" s="14">
        <v>46183</v>
      </c>
      <c r="F501" s="7" t="str">
        <f>IFERROR(VLOOKUP(G501, data!A:B, 2, FALSE), "Tienda")</f>
        <v>SC LOMAS DE SANTA FE</v>
      </c>
      <c r="G501" s="1">
        <v>190</v>
      </c>
      <c r="H501" s="2">
        <v>722</v>
      </c>
      <c r="I501" s="3" t="s">
        <v>7</v>
      </c>
      <c r="J501" s="4">
        <v>6</v>
      </c>
      <c r="K501" s="8">
        <f>IFERROR(VLOOKUP(I501, data!E:F, 2, FALSE), "Precio Unidad")</f>
        <v>113</v>
      </c>
      <c r="L501" s="9">
        <f t="shared" si="8"/>
        <v>678</v>
      </c>
    </row>
    <row r="502" spans="1:12" ht="15" customHeight="1" x14ac:dyDescent="0.2">
      <c r="A502" s="14">
        <v>46183</v>
      </c>
      <c r="F502" s="7" t="str">
        <f>IFERROR(VLOOKUP(G502, data!A:B, 2, FALSE), "Tienda")</f>
        <v>SC LOMAS DE SANTA FE</v>
      </c>
      <c r="G502" s="1">
        <v>190</v>
      </c>
      <c r="H502" s="2">
        <v>722</v>
      </c>
      <c r="I502" s="3" t="s">
        <v>12</v>
      </c>
      <c r="J502" s="4">
        <v>10</v>
      </c>
      <c r="K502" s="8">
        <f>IFERROR(VLOOKUP(I502, data!E:F, 2, FALSE), "Precio Unidad")</f>
        <v>95</v>
      </c>
      <c r="L502" s="9">
        <f t="shared" si="8"/>
        <v>950</v>
      </c>
    </row>
    <row r="503" spans="1:12" ht="15" customHeight="1" x14ac:dyDescent="0.2">
      <c r="A503" s="14">
        <v>46183</v>
      </c>
      <c r="F503" s="7" t="str">
        <f>IFERROR(VLOOKUP(G503, data!A:B, 2, FALSE), "Tienda")</f>
        <v>SC LOMAS DE SANTA FE</v>
      </c>
      <c r="G503" s="1">
        <v>190</v>
      </c>
      <c r="H503" s="2">
        <v>722</v>
      </c>
      <c r="I503" s="3" t="s">
        <v>13</v>
      </c>
      <c r="J503" s="4">
        <v>10</v>
      </c>
      <c r="K503" s="8">
        <f>IFERROR(VLOOKUP(I503, data!E:F, 2, FALSE), "Precio Unidad")</f>
        <v>63</v>
      </c>
      <c r="L503" s="9">
        <f t="shared" si="8"/>
        <v>630</v>
      </c>
    </row>
    <row r="504" spans="1:12" ht="15" customHeight="1" x14ac:dyDescent="0.2">
      <c r="A504" s="14">
        <v>46183</v>
      </c>
      <c r="F504" s="7" t="str">
        <f>IFERROR(VLOOKUP(G504, data!A:B, 2, FALSE), "Tienda")</f>
        <v>SC PACIFICO</v>
      </c>
      <c r="G504" s="1">
        <v>1616</v>
      </c>
      <c r="H504" s="2">
        <v>723</v>
      </c>
      <c r="I504" s="3" t="s">
        <v>6</v>
      </c>
      <c r="J504" s="4">
        <v>4</v>
      </c>
      <c r="K504" s="8">
        <f>IFERROR(VLOOKUP(I504, data!E:F, 2, FALSE), "Precio Unidad")</f>
        <v>167</v>
      </c>
      <c r="L504" s="9">
        <f t="shared" si="8"/>
        <v>668</v>
      </c>
    </row>
    <row r="505" spans="1:12" ht="15" customHeight="1" x14ac:dyDescent="0.2">
      <c r="A505" s="14">
        <v>46183</v>
      </c>
      <c r="F505" s="7" t="str">
        <f>IFERROR(VLOOKUP(G505, data!A:B, 2, FALSE), "Tienda")</f>
        <v>SC PACIFICO</v>
      </c>
      <c r="G505" s="1">
        <v>1616</v>
      </c>
      <c r="H505" s="2">
        <v>723</v>
      </c>
      <c r="I505" s="3" t="s">
        <v>7</v>
      </c>
      <c r="J505" s="4">
        <v>6</v>
      </c>
      <c r="K505" s="8">
        <f>IFERROR(VLOOKUP(I505, data!E:F, 2, FALSE), "Precio Unidad")</f>
        <v>113</v>
      </c>
      <c r="L505" s="9">
        <f t="shared" si="8"/>
        <v>678</v>
      </c>
    </row>
    <row r="506" spans="1:12" ht="15" customHeight="1" x14ac:dyDescent="0.2">
      <c r="A506" s="14">
        <v>46183</v>
      </c>
      <c r="F506" s="7" t="str">
        <f>IFERROR(VLOOKUP(G506, data!A:B, 2, FALSE), "Tienda")</f>
        <v>SC PACIFICO</v>
      </c>
      <c r="G506" s="1">
        <v>1616</v>
      </c>
      <c r="H506" s="2">
        <v>723</v>
      </c>
      <c r="I506" s="3" t="s">
        <v>10</v>
      </c>
      <c r="J506" s="4">
        <v>8</v>
      </c>
      <c r="K506" s="8">
        <f>IFERROR(VLOOKUP(I506, data!E:F, 2, FALSE), "Precio Unidad")</f>
        <v>151</v>
      </c>
      <c r="L506" s="9">
        <f t="shared" si="8"/>
        <v>1208</v>
      </c>
    </row>
    <row r="507" spans="1:12" ht="15" customHeight="1" x14ac:dyDescent="0.2">
      <c r="A507" s="14">
        <v>46183</v>
      </c>
      <c r="F507" s="7" t="str">
        <f>IFERROR(VLOOKUP(G507, data!A:B, 2, FALSE), "Tienda")</f>
        <v>SC PLAYAS DE TIJUANA</v>
      </c>
      <c r="G507" s="1">
        <v>1613</v>
      </c>
      <c r="H507" s="2">
        <v>724</v>
      </c>
      <c r="I507" s="3" t="s">
        <v>6</v>
      </c>
      <c r="J507" s="4">
        <v>8</v>
      </c>
      <c r="K507" s="8">
        <f>IFERROR(VLOOKUP(I507, data!E:F, 2, FALSE), "Precio Unidad")</f>
        <v>167</v>
      </c>
      <c r="L507" s="9">
        <f t="shared" si="8"/>
        <v>1336</v>
      </c>
    </row>
    <row r="508" spans="1:12" ht="15" customHeight="1" x14ac:dyDescent="0.2">
      <c r="A508" s="14">
        <v>46183</v>
      </c>
      <c r="F508" s="7" t="str">
        <f>IFERROR(VLOOKUP(G508, data!A:B, 2, FALSE), "Tienda")</f>
        <v>SC PLAYAS DE TIJUANA</v>
      </c>
      <c r="G508" s="1">
        <v>1613</v>
      </c>
      <c r="H508" s="2">
        <v>724</v>
      </c>
      <c r="I508" s="3" t="s">
        <v>10</v>
      </c>
      <c r="J508" s="4">
        <v>8</v>
      </c>
      <c r="K508" s="8">
        <f>IFERROR(VLOOKUP(I508, data!E:F, 2, FALSE), "Precio Unidad")</f>
        <v>151</v>
      </c>
      <c r="L508" s="9">
        <f t="shared" si="8"/>
        <v>1208</v>
      </c>
    </row>
    <row r="509" spans="1:12" ht="15" customHeight="1" x14ac:dyDescent="0.2">
      <c r="A509" s="14">
        <v>46183</v>
      </c>
      <c r="F509" s="7" t="str">
        <f>IFERROR(VLOOKUP(G509, data!A:B, 2, FALSE), "Tienda")</f>
        <v>SC PLAYAS DE TIJUANA</v>
      </c>
      <c r="G509" s="1">
        <v>1613</v>
      </c>
      <c r="H509" s="2">
        <v>724</v>
      </c>
      <c r="I509" s="3" t="s">
        <v>11</v>
      </c>
      <c r="J509" s="4">
        <v>8</v>
      </c>
      <c r="K509" s="8">
        <f>IFERROR(VLOOKUP(I509, data!E:F, 2, FALSE), "Precio Unidad")</f>
        <v>177</v>
      </c>
      <c r="L509" s="9">
        <f t="shared" si="8"/>
        <v>1416</v>
      </c>
    </row>
    <row r="510" spans="1:12" ht="15" customHeight="1" x14ac:dyDescent="0.2">
      <c r="A510" s="14">
        <v>46183</v>
      </c>
      <c r="F510" s="7" t="str">
        <f>IFERROR(VLOOKUP(G510, data!A:B, 2, FALSE), "Tienda")</f>
        <v>SC PLAYAS DE TIJUANA</v>
      </c>
      <c r="G510" s="1">
        <v>1613</v>
      </c>
      <c r="H510" s="2">
        <v>724</v>
      </c>
      <c r="I510" s="3" t="s">
        <v>13</v>
      </c>
      <c r="J510" s="4">
        <v>10</v>
      </c>
      <c r="K510" s="8">
        <f>IFERROR(VLOOKUP(I510, data!E:F, 2, FALSE), "Precio Unidad")</f>
        <v>63</v>
      </c>
      <c r="L510" s="9">
        <f t="shared" si="8"/>
        <v>630</v>
      </c>
    </row>
    <row r="511" spans="1:12" ht="15" customHeight="1" x14ac:dyDescent="0.2">
      <c r="A511" s="14">
        <v>46184</v>
      </c>
      <c r="F511" s="7" t="str">
        <f>IFERROR(VLOOKUP(G511, data!A:B, 2, FALSE), "Tienda")</f>
        <v>SC NUEVO MEXICALI</v>
      </c>
      <c r="G511" s="1">
        <v>5041</v>
      </c>
      <c r="H511" s="2">
        <v>725</v>
      </c>
      <c r="I511" s="3" t="s">
        <v>6</v>
      </c>
      <c r="J511" s="4">
        <v>8</v>
      </c>
      <c r="K511" s="8">
        <f>IFERROR(VLOOKUP(I511, data!E:F, 2, FALSE), "Precio Unidad")</f>
        <v>167</v>
      </c>
      <c r="L511" s="9">
        <f t="shared" si="8"/>
        <v>1336</v>
      </c>
    </row>
    <row r="512" spans="1:12" ht="15" customHeight="1" x14ac:dyDescent="0.2">
      <c r="A512" s="14">
        <v>46184</v>
      </c>
      <c r="F512" s="7" t="str">
        <f>IFERROR(VLOOKUP(G512, data!A:B, 2, FALSE), "Tienda")</f>
        <v>SC NUEVO MEXICALI</v>
      </c>
      <c r="G512" s="1">
        <v>5041</v>
      </c>
      <c r="H512" s="2">
        <v>725</v>
      </c>
      <c r="I512" s="3" t="s">
        <v>10</v>
      </c>
      <c r="J512" s="4">
        <v>24</v>
      </c>
      <c r="K512" s="8">
        <f>IFERROR(VLOOKUP(I512, data!E:F, 2, FALSE), "Precio Unidad")</f>
        <v>151</v>
      </c>
      <c r="L512" s="9">
        <f t="shared" si="8"/>
        <v>3624</v>
      </c>
    </row>
    <row r="513" spans="1:12" ht="15" customHeight="1" x14ac:dyDescent="0.2">
      <c r="A513" s="14">
        <v>46184</v>
      </c>
      <c r="F513" s="7" t="str">
        <f>IFERROR(VLOOKUP(G513, data!A:B, 2, FALSE), "Tienda")</f>
        <v>SC NUEVO MEXICALI</v>
      </c>
      <c r="G513" s="1">
        <v>5041</v>
      </c>
      <c r="H513" s="2">
        <v>725</v>
      </c>
      <c r="I513" s="3" t="s">
        <v>11</v>
      </c>
      <c r="J513" s="4">
        <v>16</v>
      </c>
      <c r="K513" s="8">
        <f>IFERROR(VLOOKUP(I513, data!E:F, 2, FALSE), "Precio Unidad")</f>
        <v>177</v>
      </c>
      <c r="L513" s="9">
        <f t="shared" si="8"/>
        <v>2832</v>
      </c>
    </row>
    <row r="514" spans="1:12" ht="15" customHeight="1" x14ac:dyDescent="0.2">
      <c r="A514" s="14">
        <v>46184</v>
      </c>
      <c r="F514" s="7" t="str">
        <f>IFERROR(VLOOKUP(G514, data!A:B, 2, FALSE), "Tienda")</f>
        <v>SC NUEVO MEXICALI</v>
      </c>
      <c r="G514" s="1">
        <v>5041</v>
      </c>
      <c r="H514" s="2">
        <v>725</v>
      </c>
      <c r="I514" s="3" t="s">
        <v>12</v>
      </c>
      <c r="J514" s="4">
        <v>30</v>
      </c>
      <c r="K514" s="8">
        <f>IFERROR(VLOOKUP(I514, data!E:F, 2, FALSE), "Precio Unidad")</f>
        <v>95</v>
      </c>
      <c r="L514" s="9">
        <f t="shared" si="8"/>
        <v>2850</v>
      </c>
    </row>
    <row r="515" spans="1:12" ht="15" customHeight="1" x14ac:dyDescent="0.2">
      <c r="A515" s="14">
        <v>46184</v>
      </c>
      <c r="F515" s="7" t="str">
        <f>IFERROR(VLOOKUP(G515, data!A:B, 2, FALSE), "Tienda")</f>
        <v>SC NUEVO MEXICALI</v>
      </c>
      <c r="G515" s="1">
        <v>5041</v>
      </c>
      <c r="H515" s="2">
        <v>725</v>
      </c>
      <c r="I515" s="3" t="s">
        <v>13</v>
      </c>
      <c r="J515" s="4">
        <v>20</v>
      </c>
      <c r="K515" s="8">
        <f>IFERROR(VLOOKUP(I515, data!E:F, 2, FALSE), "Precio Unidad")</f>
        <v>63</v>
      </c>
      <c r="L515" s="9">
        <f t="shared" si="8"/>
        <v>1260</v>
      </c>
    </row>
    <row r="516" spans="1:12" ht="15" customHeight="1" x14ac:dyDescent="0.2">
      <c r="A516" s="14">
        <v>46184</v>
      </c>
      <c r="F516" s="7" t="str">
        <f>IFERROR(VLOOKUP(G516, data!A:B, 2, FALSE), "Tienda")</f>
        <v>SC GALERIAS DEL VALLE</v>
      </c>
      <c r="G516" s="1">
        <v>4026</v>
      </c>
      <c r="H516" s="2">
        <v>726</v>
      </c>
      <c r="I516" s="3" t="s">
        <v>6</v>
      </c>
      <c r="J516" s="4">
        <v>4</v>
      </c>
      <c r="K516" s="8">
        <f>IFERROR(VLOOKUP(I516, data!E:F, 2, FALSE), "Precio Unidad")</f>
        <v>167</v>
      </c>
      <c r="L516" s="9">
        <f t="shared" si="8"/>
        <v>668</v>
      </c>
    </row>
    <row r="517" spans="1:12" ht="15" customHeight="1" x14ac:dyDescent="0.2">
      <c r="A517" s="14">
        <v>46184</v>
      </c>
      <c r="F517" s="7" t="str">
        <f>IFERROR(VLOOKUP(G517, data!A:B, 2, FALSE), "Tienda")</f>
        <v>SC GALERIAS DEL VALLE</v>
      </c>
      <c r="G517" s="1">
        <v>4026</v>
      </c>
      <c r="H517" s="2">
        <v>726</v>
      </c>
      <c r="I517" s="3" t="s">
        <v>7</v>
      </c>
      <c r="J517" s="4">
        <v>6</v>
      </c>
      <c r="K517" s="8">
        <f>IFERROR(VLOOKUP(I517, data!E:F, 2, FALSE), "Precio Unidad")</f>
        <v>113</v>
      </c>
      <c r="L517" s="9">
        <f t="shared" si="8"/>
        <v>678</v>
      </c>
    </row>
    <row r="518" spans="1:12" ht="15" customHeight="1" x14ac:dyDescent="0.2">
      <c r="A518" s="14">
        <v>46184</v>
      </c>
      <c r="F518" s="7" t="str">
        <f>IFERROR(VLOOKUP(G518, data!A:B, 2, FALSE), "Tienda")</f>
        <v>SC GALERIAS DEL VALLE</v>
      </c>
      <c r="G518" s="1">
        <v>4026</v>
      </c>
      <c r="H518" s="2">
        <v>726</v>
      </c>
      <c r="I518" s="3" t="s">
        <v>10</v>
      </c>
      <c r="J518" s="4">
        <v>8</v>
      </c>
      <c r="K518" s="8">
        <f>IFERROR(VLOOKUP(I518, data!E:F, 2, FALSE), "Precio Unidad")</f>
        <v>151</v>
      </c>
      <c r="L518" s="9">
        <f t="shared" si="8"/>
        <v>1208</v>
      </c>
    </row>
    <row r="519" spans="1:12" ht="15" customHeight="1" x14ac:dyDescent="0.2">
      <c r="A519" s="14">
        <v>46184</v>
      </c>
      <c r="F519" s="7" t="str">
        <f>IFERROR(VLOOKUP(G519, data!A:B, 2, FALSE), "Tienda")</f>
        <v>SC GALERIAS DEL VALLE</v>
      </c>
      <c r="G519" s="1">
        <v>4026</v>
      </c>
      <c r="H519" s="2">
        <v>726</v>
      </c>
      <c r="I519" s="3" t="s">
        <v>12</v>
      </c>
      <c r="J519" s="4">
        <v>20</v>
      </c>
      <c r="K519" s="8">
        <f>IFERROR(VLOOKUP(I519, data!E:F, 2, FALSE), "Precio Unidad")</f>
        <v>95</v>
      </c>
      <c r="L519" s="9">
        <f t="shared" si="8"/>
        <v>1900</v>
      </c>
    </row>
    <row r="520" spans="1:12" ht="15" customHeight="1" x14ac:dyDescent="0.2">
      <c r="A520" s="14">
        <v>46184</v>
      </c>
      <c r="F520" s="7" t="str">
        <f>IFERROR(VLOOKUP(G520, data!A:B, 2, FALSE), "Tienda")</f>
        <v>SC GALERIAS DEL VALLE</v>
      </c>
      <c r="G520" s="1">
        <v>4026</v>
      </c>
      <c r="H520" s="2">
        <v>726</v>
      </c>
      <c r="I520" s="3" t="s">
        <v>13</v>
      </c>
      <c r="J520" s="4">
        <v>20</v>
      </c>
      <c r="K520" s="8">
        <f>IFERROR(VLOOKUP(I520, data!E:F, 2, FALSE), "Precio Unidad")</f>
        <v>63</v>
      </c>
      <c r="L520" s="9">
        <f t="shared" si="8"/>
        <v>1260</v>
      </c>
    </row>
    <row r="521" spans="1:12" ht="15" customHeight="1" x14ac:dyDescent="0.2">
      <c r="A521" s="14">
        <v>46184</v>
      </c>
      <c r="F521" s="7" t="str">
        <f>IFERROR(VLOOKUP(G521, data!A:B, 2, FALSE), "Tienda")</f>
        <v>SC MEXICALI</v>
      </c>
      <c r="G521" s="1">
        <v>2304</v>
      </c>
      <c r="H521" s="2">
        <v>727</v>
      </c>
      <c r="I521" s="3" t="s">
        <v>7</v>
      </c>
      <c r="J521" s="4">
        <v>10</v>
      </c>
      <c r="K521" s="8">
        <f>IFERROR(VLOOKUP(I521, data!E:F, 2, FALSE), "Precio Unidad")</f>
        <v>113</v>
      </c>
      <c r="L521" s="9">
        <f t="shared" si="8"/>
        <v>1130</v>
      </c>
    </row>
    <row r="522" spans="1:12" ht="15" customHeight="1" x14ac:dyDescent="0.2">
      <c r="A522" s="14">
        <v>46184</v>
      </c>
      <c r="F522" s="7" t="str">
        <f>IFERROR(VLOOKUP(G522, data!A:B, 2, FALSE), "Tienda")</f>
        <v>SC MEXICALI</v>
      </c>
      <c r="G522" s="1">
        <v>2304</v>
      </c>
      <c r="H522" s="2">
        <v>727</v>
      </c>
      <c r="I522" s="3" t="s">
        <v>10</v>
      </c>
      <c r="J522" s="4">
        <v>8</v>
      </c>
      <c r="K522" s="8">
        <f>IFERROR(VLOOKUP(I522, data!E:F, 2, FALSE), "Precio Unidad")</f>
        <v>151</v>
      </c>
      <c r="L522" s="9">
        <f t="shared" si="8"/>
        <v>1208</v>
      </c>
    </row>
    <row r="523" spans="1:12" ht="15" customHeight="1" x14ac:dyDescent="0.2">
      <c r="A523" s="14">
        <v>46184</v>
      </c>
      <c r="F523" s="7" t="str">
        <f>IFERROR(VLOOKUP(G523, data!A:B, 2, FALSE), "Tienda")</f>
        <v>SC MEXICALI</v>
      </c>
      <c r="G523" s="1">
        <v>2304</v>
      </c>
      <c r="H523" s="2">
        <v>727</v>
      </c>
      <c r="I523" s="3" t="s">
        <v>11</v>
      </c>
      <c r="J523" s="4">
        <v>8</v>
      </c>
      <c r="K523" s="8">
        <f>IFERROR(VLOOKUP(I523, data!E:F, 2, FALSE), "Precio Unidad")</f>
        <v>177</v>
      </c>
      <c r="L523" s="9">
        <f t="shared" si="8"/>
        <v>1416</v>
      </c>
    </row>
    <row r="524" spans="1:12" ht="15" customHeight="1" x14ac:dyDescent="0.2">
      <c r="A524" s="14">
        <v>46184</v>
      </c>
      <c r="F524" s="7" t="str">
        <f>IFERROR(VLOOKUP(G524, data!A:B, 2, FALSE), "Tienda")</f>
        <v>SC MEXICALI</v>
      </c>
      <c r="G524" s="1">
        <v>2304</v>
      </c>
      <c r="H524" s="2">
        <v>727</v>
      </c>
      <c r="I524" s="3" t="s">
        <v>12</v>
      </c>
      <c r="J524" s="4">
        <v>20</v>
      </c>
      <c r="K524" s="8">
        <f>IFERROR(VLOOKUP(I524, data!E:F, 2, FALSE), "Precio Unidad")</f>
        <v>95</v>
      </c>
      <c r="L524" s="9">
        <f t="shared" si="8"/>
        <v>1900</v>
      </c>
    </row>
    <row r="525" spans="1:12" ht="15" customHeight="1" x14ac:dyDescent="0.2">
      <c r="A525" s="14">
        <v>46184</v>
      </c>
      <c r="F525" s="7" t="str">
        <f>IFERROR(VLOOKUP(G525, data!A:B, 2, FALSE), "Tienda")</f>
        <v>SC MEXICALI</v>
      </c>
      <c r="G525" s="1">
        <v>2304</v>
      </c>
      <c r="H525" s="2">
        <v>727</v>
      </c>
      <c r="I525" s="3" t="s">
        <v>13</v>
      </c>
      <c r="J525" s="4">
        <v>10</v>
      </c>
      <c r="K525" s="8">
        <f>IFERROR(VLOOKUP(I525, data!E:F, 2, FALSE), "Precio Unidad")</f>
        <v>63</v>
      </c>
      <c r="L525" s="9">
        <f t="shared" si="8"/>
        <v>630</v>
      </c>
    </row>
    <row r="526" spans="1:12" ht="15" customHeight="1" x14ac:dyDescent="0.2">
      <c r="A526" s="14">
        <v>46184</v>
      </c>
      <c r="F526" s="7" t="str">
        <f>IFERROR(VLOOKUP(G526, data!A:B, 2, FALSE), "Tienda")</f>
        <v>SC MEXICALI NOVENA</v>
      </c>
      <c r="G526" s="1">
        <v>1617</v>
      </c>
      <c r="H526" s="2">
        <v>728</v>
      </c>
      <c r="I526" s="3" t="s">
        <v>6</v>
      </c>
      <c r="J526" s="4">
        <v>8</v>
      </c>
      <c r="K526" s="8">
        <f>IFERROR(VLOOKUP(I526, data!E:F, 2, FALSE), "Precio Unidad")</f>
        <v>167</v>
      </c>
      <c r="L526" s="9">
        <f t="shared" si="8"/>
        <v>1336</v>
      </c>
    </row>
    <row r="527" spans="1:12" ht="15" customHeight="1" x14ac:dyDescent="0.2">
      <c r="A527" s="14">
        <v>46184</v>
      </c>
      <c r="F527" s="7" t="str">
        <f>IFERROR(VLOOKUP(G527, data!A:B, 2, FALSE), "Tienda")</f>
        <v>SC MEXICALI NOVENA</v>
      </c>
      <c r="G527" s="1">
        <v>1617</v>
      </c>
      <c r="H527" s="2">
        <v>728</v>
      </c>
      <c r="I527" s="3" t="s">
        <v>10</v>
      </c>
      <c r="J527" s="4">
        <v>16</v>
      </c>
      <c r="K527" s="8">
        <f>IFERROR(VLOOKUP(I527, data!E:F, 2, FALSE), "Precio Unidad")</f>
        <v>151</v>
      </c>
      <c r="L527" s="9">
        <f t="shared" si="8"/>
        <v>2416</v>
      </c>
    </row>
    <row r="528" spans="1:12" ht="15" customHeight="1" x14ac:dyDescent="0.2">
      <c r="A528" s="14">
        <v>46184</v>
      </c>
      <c r="F528" s="7" t="str">
        <f>IFERROR(VLOOKUP(G528, data!A:B, 2, FALSE), "Tienda")</f>
        <v>SC MEXICALI NOVENA</v>
      </c>
      <c r="G528" s="1">
        <v>1617</v>
      </c>
      <c r="H528" s="2">
        <v>728</v>
      </c>
      <c r="I528" s="3" t="s">
        <v>11</v>
      </c>
      <c r="J528" s="4">
        <v>16</v>
      </c>
      <c r="K528" s="8">
        <f>IFERROR(VLOOKUP(I528, data!E:F, 2, FALSE), "Precio Unidad")</f>
        <v>177</v>
      </c>
      <c r="L528" s="9">
        <f t="shared" si="8"/>
        <v>2832</v>
      </c>
    </row>
    <row r="529" spans="1:12" ht="15" customHeight="1" x14ac:dyDescent="0.2">
      <c r="A529" s="14">
        <v>46184</v>
      </c>
      <c r="F529" s="7" t="str">
        <f>IFERROR(VLOOKUP(G529, data!A:B, 2, FALSE), "Tienda")</f>
        <v>SC MEXICALI NOVENA</v>
      </c>
      <c r="G529" s="1">
        <v>1617</v>
      </c>
      <c r="H529" s="2">
        <v>728</v>
      </c>
      <c r="I529" s="3" t="s">
        <v>12</v>
      </c>
      <c r="J529" s="4">
        <v>20</v>
      </c>
      <c r="K529" s="8">
        <f>IFERROR(VLOOKUP(I529, data!E:F, 2, FALSE), "Precio Unidad")</f>
        <v>95</v>
      </c>
      <c r="L529" s="9">
        <f t="shared" ref="L529:L588" si="9">K529*J529</f>
        <v>1900</v>
      </c>
    </row>
    <row r="530" spans="1:12" ht="15" customHeight="1" x14ac:dyDescent="0.2">
      <c r="A530" s="14">
        <v>46184</v>
      </c>
      <c r="F530" s="7" t="str">
        <f>IFERROR(VLOOKUP(G530, data!A:B, 2, FALSE), "Tienda")</f>
        <v>SC MEXICALI NOVENA</v>
      </c>
      <c r="G530" s="1">
        <v>1617</v>
      </c>
      <c r="H530" s="2">
        <v>728</v>
      </c>
      <c r="I530" s="3" t="s">
        <v>13</v>
      </c>
      <c r="J530" s="4">
        <v>20</v>
      </c>
      <c r="K530" s="8">
        <f>IFERROR(VLOOKUP(I530, data!E:F, 2, FALSE), "Precio Unidad")</f>
        <v>63</v>
      </c>
      <c r="L530" s="9">
        <f t="shared" si="9"/>
        <v>1260</v>
      </c>
    </row>
    <row r="531" spans="1:12" ht="15" customHeight="1" x14ac:dyDescent="0.2">
      <c r="A531" s="14">
        <v>46184</v>
      </c>
      <c r="F531" s="7" t="str">
        <f>IFERROR(VLOOKUP(G531, data!A:B, 2, FALSE), "Tienda")</f>
        <v>SC PLAZA SAN PEDRO</v>
      </c>
      <c r="G531" s="1">
        <v>1140</v>
      </c>
      <c r="H531" s="2">
        <v>729</v>
      </c>
      <c r="I531" s="3" t="s">
        <v>6</v>
      </c>
      <c r="J531" s="4">
        <v>8</v>
      </c>
      <c r="K531" s="8">
        <f>IFERROR(VLOOKUP(I531, data!E:F, 2, FALSE), "Precio Unidad")</f>
        <v>167</v>
      </c>
      <c r="L531" s="9">
        <f t="shared" si="9"/>
        <v>1336</v>
      </c>
    </row>
    <row r="532" spans="1:12" ht="15" customHeight="1" x14ac:dyDescent="0.2">
      <c r="A532" s="14">
        <v>46184</v>
      </c>
      <c r="F532" s="7" t="str">
        <f>IFERROR(VLOOKUP(G532, data!A:B, 2, FALSE), "Tienda")</f>
        <v>SC PLAZA SAN PEDRO</v>
      </c>
      <c r="G532" s="1">
        <v>1140</v>
      </c>
      <c r="H532" s="2">
        <v>729</v>
      </c>
      <c r="I532" s="3" t="s">
        <v>10</v>
      </c>
      <c r="J532" s="4">
        <v>16</v>
      </c>
      <c r="K532" s="8">
        <f>IFERROR(VLOOKUP(I532, data!E:F, 2, FALSE), "Precio Unidad")</f>
        <v>151</v>
      </c>
      <c r="L532" s="9">
        <f t="shared" si="9"/>
        <v>2416</v>
      </c>
    </row>
    <row r="533" spans="1:12" ht="15" customHeight="1" x14ac:dyDescent="0.2">
      <c r="A533" s="14">
        <v>46184</v>
      </c>
      <c r="F533" s="7" t="str">
        <f>IFERROR(VLOOKUP(G533, data!A:B, 2, FALSE), "Tienda")</f>
        <v>SC PLAZA SAN PEDRO</v>
      </c>
      <c r="G533" s="1">
        <v>1140</v>
      </c>
      <c r="H533" s="2">
        <v>729</v>
      </c>
      <c r="I533" s="3" t="s">
        <v>12</v>
      </c>
      <c r="J533" s="4">
        <v>20</v>
      </c>
      <c r="K533" s="8">
        <f>IFERROR(VLOOKUP(I533, data!E:F, 2, FALSE), "Precio Unidad")</f>
        <v>95</v>
      </c>
      <c r="L533" s="9">
        <f t="shared" si="9"/>
        <v>1900</v>
      </c>
    </row>
    <row r="534" spans="1:12" ht="15" customHeight="1" x14ac:dyDescent="0.2">
      <c r="A534" s="14">
        <v>46184</v>
      </c>
      <c r="F534" s="7" t="str">
        <f>IFERROR(VLOOKUP(G534, data!A:B, 2, FALSE), "Tienda")</f>
        <v>SC PLAZA SAN PEDRO</v>
      </c>
      <c r="G534" s="1">
        <v>1140</v>
      </c>
      <c r="H534" s="2">
        <v>729</v>
      </c>
      <c r="I534" s="3" t="s">
        <v>13</v>
      </c>
      <c r="J534" s="4">
        <v>10</v>
      </c>
      <c r="K534" s="8">
        <f>IFERROR(VLOOKUP(I534, data!E:F, 2, FALSE), "Precio Unidad")</f>
        <v>63</v>
      </c>
      <c r="L534" s="9">
        <f t="shared" si="9"/>
        <v>630</v>
      </c>
    </row>
    <row r="535" spans="1:12" ht="15" customHeight="1" x14ac:dyDescent="0.2">
      <c r="A535" s="14">
        <v>46186</v>
      </c>
      <c r="F535" s="7" t="str">
        <f>IFERROR(VLOOKUP(G535, data!A:B, 2, FALSE), "Tienda")</f>
        <v>SC ENSENADA</v>
      </c>
      <c r="G535" s="1">
        <v>3015</v>
      </c>
      <c r="H535" s="2">
        <v>730</v>
      </c>
      <c r="I535" s="3" t="s">
        <v>6</v>
      </c>
      <c r="J535" s="4">
        <v>4</v>
      </c>
      <c r="K535" s="8">
        <f>IFERROR(VLOOKUP(I535, data!E:F, 2, FALSE), "Precio Unidad")</f>
        <v>167</v>
      </c>
      <c r="L535" s="9">
        <f t="shared" si="9"/>
        <v>668</v>
      </c>
    </row>
    <row r="536" spans="1:12" ht="15" customHeight="1" x14ac:dyDescent="0.2">
      <c r="A536" s="14">
        <v>46186</v>
      </c>
      <c r="F536" s="7" t="str">
        <f>IFERROR(VLOOKUP(G536, data!A:B, 2, FALSE), "Tienda")</f>
        <v>SC ENSENADA</v>
      </c>
      <c r="G536" s="1">
        <v>3015</v>
      </c>
      <c r="H536" s="2">
        <v>730</v>
      </c>
      <c r="I536" s="3" t="s">
        <v>7</v>
      </c>
      <c r="J536" s="4">
        <v>6</v>
      </c>
      <c r="K536" s="8">
        <f>IFERROR(VLOOKUP(I536, data!E:F, 2, FALSE), "Precio Unidad")</f>
        <v>113</v>
      </c>
      <c r="L536" s="9">
        <f t="shared" si="9"/>
        <v>678</v>
      </c>
    </row>
    <row r="537" spans="1:12" ht="15" customHeight="1" x14ac:dyDescent="0.2">
      <c r="A537" s="14">
        <v>46186</v>
      </c>
      <c r="F537" s="7" t="str">
        <f>IFERROR(VLOOKUP(G537, data!A:B, 2, FALSE), "Tienda")</f>
        <v>SC ENSENADA</v>
      </c>
      <c r="G537" s="1">
        <v>3015</v>
      </c>
      <c r="H537" s="2">
        <v>730</v>
      </c>
      <c r="I537" s="3" t="s">
        <v>10</v>
      </c>
      <c r="J537" s="4">
        <v>8</v>
      </c>
      <c r="K537" s="8">
        <f>IFERROR(VLOOKUP(I537, data!E:F, 2, FALSE), "Precio Unidad")</f>
        <v>151</v>
      </c>
      <c r="L537" s="9">
        <f t="shared" si="9"/>
        <v>1208</v>
      </c>
    </row>
    <row r="538" spans="1:12" ht="15" customHeight="1" x14ac:dyDescent="0.2">
      <c r="A538" s="14">
        <v>46186</v>
      </c>
      <c r="F538" s="7" t="str">
        <f>IFERROR(VLOOKUP(G538, data!A:B, 2, FALSE), "Tienda")</f>
        <v>SC ENSENADA</v>
      </c>
      <c r="G538" s="1">
        <v>3015</v>
      </c>
      <c r="H538" s="2">
        <v>730</v>
      </c>
      <c r="I538" s="3" t="s">
        <v>13</v>
      </c>
      <c r="J538" s="4">
        <v>8</v>
      </c>
      <c r="K538" s="8">
        <f>IFERROR(VLOOKUP(I538, data!E:F, 2, FALSE), "Precio Unidad")</f>
        <v>63</v>
      </c>
      <c r="L538" s="9">
        <f t="shared" si="9"/>
        <v>504</v>
      </c>
    </row>
    <row r="539" spans="1:12" ht="15" customHeight="1" x14ac:dyDescent="0.2">
      <c r="A539" s="14">
        <v>46186</v>
      </c>
      <c r="F539" s="7" t="str">
        <f>IFERROR(VLOOKUP(G539, data!A:B, 2, FALSE), "Tienda")</f>
        <v>SC NUEVO MEXICALI</v>
      </c>
      <c r="G539" s="1">
        <v>5041</v>
      </c>
      <c r="H539" s="2">
        <v>731</v>
      </c>
      <c r="I539" s="3" t="s">
        <v>6</v>
      </c>
      <c r="J539" s="4">
        <v>8</v>
      </c>
      <c r="K539" s="8">
        <f>IFERROR(VLOOKUP(I539, data!E:F, 2, FALSE), "Precio Unidad")</f>
        <v>167</v>
      </c>
      <c r="L539" s="9">
        <f t="shared" si="9"/>
        <v>1336</v>
      </c>
    </row>
    <row r="540" spans="1:12" ht="15" customHeight="1" x14ac:dyDescent="0.2">
      <c r="A540" s="14">
        <v>46186</v>
      </c>
      <c r="F540" s="7" t="str">
        <f>IFERROR(VLOOKUP(G540, data!A:B, 2, FALSE), "Tienda")</f>
        <v>SC NUEVO MEXICALI</v>
      </c>
      <c r="G540" s="1">
        <v>5041</v>
      </c>
      <c r="H540" s="2">
        <v>731</v>
      </c>
      <c r="I540" s="3" t="s">
        <v>7</v>
      </c>
      <c r="J540" s="4">
        <v>10</v>
      </c>
      <c r="K540" s="8">
        <f>IFERROR(VLOOKUP(I540, data!E:F, 2, FALSE), "Precio Unidad")</f>
        <v>113</v>
      </c>
      <c r="L540" s="9">
        <f t="shared" si="9"/>
        <v>1130</v>
      </c>
    </row>
    <row r="541" spans="1:12" ht="15" customHeight="1" x14ac:dyDescent="0.2">
      <c r="A541" s="14">
        <v>46186</v>
      </c>
      <c r="F541" s="7" t="str">
        <f>IFERROR(VLOOKUP(G541, data!A:B, 2, FALSE), "Tienda")</f>
        <v>SC NUEVO MEXICALI</v>
      </c>
      <c r="G541" s="1">
        <v>5041</v>
      </c>
      <c r="H541" s="2">
        <v>731</v>
      </c>
      <c r="I541" s="3" t="s">
        <v>10</v>
      </c>
      <c r="J541" s="4">
        <v>8</v>
      </c>
      <c r="K541" s="8">
        <f>IFERROR(VLOOKUP(I541, data!E:F, 2, FALSE), "Precio Unidad")</f>
        <v>151</v>
      </c>
      <c r="L541" s="9">
        <f t="shared" si="9"/>
        <v>1208</v>
      </c>
    </row>
    <row r="542" spans="1:12" ht="15" customHeight="1" x14ac:dyDescent="0.2">
      <c r="A542" s="14">
        <v>46186</v>
      </c>
      <c r="F542" s="7" t="str">
        <f>IFERROR(VLOOKUP(G542, data!A:B, 2, FALSE), "Tienda")</f>
        <v>SC NUEVO MEXICALI</v>
      </c>
      <c r="G542" s="1">
        <v>5041</v>
      </c>
      <c r="H542" s="2">
        <v>731</v>
      </c>
      <c r="I542" s="3" t="s">
        <v>12</v>
      </c>
      <c r="J542" s="4">
        <v>20</v>
      </c>
      <c r="K542" s="8">
        <f>IFERROR(VLOOKUP(I542, data!E:F, 2, FALSE), "Precio Unidad")</f>
        <v>95</v>
      </c>
      <c r="L542" s="9">
        <f t="shared" si="9"/>
        <v>1900</v>
      </c>
    </row>
    <row r="543" spans="1:12" ht="15" customHeight="1" x14ac:dyDescent="0.2">
      <c r="A543" s="14">
        <v>46186</v>
      </c>
      <c r="F543" s="7" t="str">
        <f>IFERROR(VLOOKUP(G543, data!A:B, 2, FALSE), "Tienda")</f>
        <v>SC NUEVO MEXICALI</v>
      </c>
      <c r="G543" s="1">
        <v>5041</v>
      </c>
      <c r="H543" s="2">
        <v>731</v>
      </c>
      <c r="I543" s="3" t="s">
        <v>13</v>
      </c>
      <c r="J543" s="4">
        <v>7</v>
      </c>
      <c r="K543" s="8">
        <f>IFERROR(VLOOKUP(I543, data!E:F, 2, FALSE), "Precio Unidad")</f>
        <v>63</v>
      </c>
      <c r="L543" s="9">
        <f t="shared" si="9"/>
        <v>441</v>
      </c>
    </row>
    <row r="544" spans="1:12" ht="15" customHeight="1" x14ac:dyDescent="0.2">
      <c r="A544" s="14">
        <v>46186</v>
      </c>
      <c r="F544" s="7" t="str">
        <f>IFERROR(VLOOKUP(G544, data!A:B, 2, FALSE), "Tienda")</f>
        <v>SC GALERIAS DEL VALLE</v>
      </c>
      <c r="G544" s="1">
        <v>4026</v>
      </c>
      <c r="H544" s="2">
        <v>732</v>
      </c>
      <c r="I544" s="3" t="s">
        <v>10</v>
      </c>
      <c r="J544" s="4">
        <v>8</v>
      </c>
      <c r="K544" s="8">
        <f>IFERROR(VLOOKUP(I544, data!E:F, 2, FALSE), "Precio Unidad")</f>
        <v>151</v>
      </c>
      <c r="L544" s="9">
        <f t="shared" si="9"/>
        <v>1208</v>
      </c>
    </row>
    <row r="545" spans="1:12" ht="15" customHeight="1" x14ac:dyDescent="0.2">
      <c r="A545" s="14">
        <v>46186</v>
      </c>
      <c r="F545" s="7" t="str">
        <f>IFERROR(VLOOKUP(G545, data!A:B, 2, FALSE), "Tienda")</f>
        <v>SC GALERIAS DEL VALLE</v>
      </c>
      <c r="G545" s="1">
        <v>4026</v>
      </c>
      <c r="H545" s="2">
        <v>732</v>
      </c>
      <c r="I545" s="3" t="s">
        <v>12</v>
      </c>
      <c r="J545" s="4">
        <v>10</v>
      </c>
      <c r="K545" s="8">
        <f>IFERROR(VLOOKUP(I545, data!E:F, 2, FALSE), "Precio Unidad")</f>
        <v>95</v>
      </c>
      <c r="L545" s="9">
        <f t="shared" si="9"/>
        <v>950</v>
      </c>
    </row>
    <row r="546" spans="1:12" ht="15" customHeight="1" x14ac:dyDescent="0.2">
      <c r="A546" s="14">
        <v>46186</v>
      </c>
      <c r="F546" s="7" t="str">
        <f>IFERROR(VLOOKUP(G546, data!A:B, 2, FALSE), "Tienda")</f>
        <v>SC GALERIAS DEL VALLE</v>
      </c>
      <c r="G546" s="1">
        <v>4026</v>
      </c>
      <c r="H546" s="2">
        <v>732</v>
      </c>
      <c r="I546" s="3" t="s">
        <v>13</v>
      </c>
      <c r="J546" s="4">
        <v>8</v>
      </c>
      <c r="K546" s="8">
        <f>IFERROR(VLOOKUP(I546, data!E:F, 2, FALSE), "Precio Unidad")</f>
        <v>63</v>
      </c>
      <c r="L546" s="9">
        <f t="shared" si="9"/>
        <v>504</v>
      </c>
    </row>
    <row r="547" spans="1:12" ht="15" customHeight="1" x14ac:dyDescent="0.2">
      <c r="A547" s="14">
        <v>46186</v>
      </c>
      <c r="F547" s="7" t="str">
        <f>IFERROR(VLOOKUP(G547, data!A:B, 2, FALSE), "Tienda")</f>
        <v>SC MEXICALI</v>
      </c>
      <c r="G547" s="1">
        <v>2304</v>
      </c>
      <c r="H547" s="2">
        <v>733</v>
      </c>
      <c r="I547" s="3" t="s">
        <v>6</v>
      </c>
      <c r="J547" s="4">
        <v>4</v>
      </c>
      <c r="K547" s="8">
        <f>IFERROR(VLOOKUP(I547, data!E:F, 2, FALSE), "Precio Unidad")</f>
        <v>167</v>
      </c>
      <c r="L547" s="9">
        <f t="shared" si="9"/>
        <v>668</v>
      </c>
    </row>
    <row r="548" spans="1:12" ht="15" customHeight="1" x14ac:dyDescent="0.2">
      <c r="A548" s="14">
        <v>46186</v>
      </c>
      <c r="F548" s="7" t="str">
        <f>IFERROR(VLOOKUP(G548, data!A:B, 2, FALSE), "Tienda")</f>
        <v>SC MEXICALI</v>
      </c>
      <c r="G548" s="1">
        <v>2304</v>
      </c>
      <c r="H548" s="2">
        <v>733</v>
      </c>
      <c r="I548" s="3" t="s">
        <v>7</v>
      </c>
      <c r="J548" s="4">
        <v>6</v>
      </c>
      <c r="K548" s="8">
        <f>IFERROR(VLOOKUP(I548, data!E:F, 2, FALSE), "Precio Unidad")</f>
        <v>113</v>
      </c>
      <c r="L548" s="9">
        <f t="shared" si="9"/>
        <v>678</v>
      </c>
    </row>
    <row r="549" spans="1:12" ht="15" customHeight="1" x14ac:dyDescent="0.2">
      <c r="A549" s="14">
        <v>46186</v>
      </c>
      <c r="F549" s="7" t="str">
        <f>IFERROR(VLOOKUP(G549, data!A:B, 2, FALSE), "Tienda")</f>
        <v>SC MEXICALI</v>
      </c>
      <c r="G549" s="1">
        <v>2304</v>
      </c>
      <c r="H549" s="2">
        <v>733</v>
      </c>
      <c r="I549" s="3" t="s">
        <v>10</v>
      </c>
      <c r="J549" s="4">
        <v>8</v>
      </c>
      <c r="K549" s="8">
        <f>IFERROR(VLOOKUP(I549, data!E:F, 2, FALSE), "Precio Unidad")</f>
        <v>151</v>
      </c>
      <c r="L549" s="9">
        <f t="shared" si="9"/>
        <v>1208</v>
      </c>
    </row>
    <row r="550" spans="1:12" ht="15" customHeight="1" x14ac:dyDescent="0.2">
      <c r="A550" s="14">
        <v>46186</v>
      </c>
      <c r="F550" s="7" t="str">
        <f>IFERROR(VLOOKUP(G550, data!A:B, 2, FALSE), "Tienda")</f>
        <v>SC MEXICALI</v>
      </c>
      <c r="G550" s="1">
        <v>2304</v>
      </c>
      <c r="H550" s="2">
        <v>733</v>
      </c>
      <c r="I550" s="3" t="s">
        <v>12</v>
      </c>
      <c r="J550" s="4">
        <v>10</v>
      </c>
      <c r="K550" s="8">
        <f>IFERROR(VLOOKUP(I550, data!E:F, 2, FALSE), "Precio Unidad")</f>
        <v>95</v>
      </c>
      <c r="L550" s="9">
        <f t="shared" si="9"/>
        <v>950</v>
      </c>
    </row>
    <row r="551" spans="1:12" ht="15" customHeight="1" x14ac:dyDescent="0.2">
      <c r="A551" s="14">
        <v>46186</v>
      </c>
      <c r="F551" s="7" t="str">
        <f>IFERROR(VLOOKUP(G551, data!A:B, 2, FALSE), "Tienda")</f>
        <v>SC MEXICALI</v>
      </c>
      <c r="G551" s="1">
        <v>2304</v>
      </c>
      <c r="H551" s="2">
        <v>733</v>
      </c>
      <c r="I551" s="3" t="s">
        <v>13</v>
      </c>
      <c r="J551" s="4">
        <v>8</v>
      </c>
      <c r="K551" s="8">
        <f>IFERROR(VLOOKUP(I551, data!E:F, 2, FALSE), "Precio Unidad")</f>
        <v>63</v>
      </c>
      <c r="L551" s="9">
        <f t="shared" si="9"/>
        <v>504</v>
      </c>
    </row>
    <row r="552" spans="1:12" ht="15" customHeight="1" x14ac:dyDescent="0.2">
      <c r="A552" s="14">
        <v>46186</v>
      </c>
      <c r="F552" s="7" t="str">
        <f>IFERROR(VLOOKUP(G552, data!A:B, 2, FALSE), "Tienda")</f>
        <v>SC PLAZA SAN PEDRO</v>
      </c>
      <c r="G552" s="1">
        <v>1140</v>
      </c>
      <c r="H552" s="2">
        <v>734</v>
      </c>
      <c r="I552" s="3" t="s">
        <v>6</v>
      </c>
      <c r="J552" s="4">
        <v>4</v>
      </c>
      <c r="K552" s="8">
        <f>IFERROR(VLOOKUP(I552, data!E:F, 2, FALSE), "Precio Unidad")</f>
        <v>167</v>
      </c>
      <c r="L552" s="9">
        <f t="shared" si="9"/>
        <v>668</v>
      </c>
    </row>
    <row r="553" spans="1:12" ht="15" customHeight="1" x14ac:dyDescent="0.2">
      <c r="A553" s="14">
        <v>46186</v>
      </c>
      <c r="F553" s="7" t="str">
        <f>IFERROR(VLOOKUP(G553, data!A:B, 2, FALSE), "Tienda")</f>
        <v>SC PLAZA SAN PEDRO</v>
      </c>
      <c r="G553" s="1">
        <v>1140</v>
      </c>
      <c r="H553" s="2">
        <v>734</v>
      </c>
      <c r="I553" s="3" t="s">
        <v>7</v>
      </c>
      <c r="J553" s="4">
        <v>6</v>
      </c>
      <c r="K553" s="8">
        <f>IFERROR(VLOOKUP(I553, data!E:F, 2, FALSE), "Precio Unidad")</f>
        <v>113</v>
      </c>
      <c r="L553" s="9">
        <f t="shared" si="9"/>
        <v>678</v>
      </c>
    </row>
    <row r="554" spans="1:12" ht="15" customHeight="1" x14ac:dyDescent="0.2">
      <c r="A554" s="14">
        <v>46186</v>
      </c>
      <c r="F554" s="7" t="str">
        <f>IFERROR(VLOOKUP(G554, data!A:B, 2, FALSE), "Tienda")</f>
        <v>SC PLAZA SAN PEDRO</v>
      </c>
      <c r="G554" s="1">
        <v>1140</v>
      </c>
      <c r="H554" s="2">
        <v>734</v>
      </c>
      <c r="I554" s="3" t="s">
        <v>10</v>
      </c>
      <c r="J554" s="4">
        <v>8</v>
      </c>
      <c r="K554" s="8">
        <f>IFERROR(VLOOKUP(I554, data!E:F, 2, FALSE), "Precio Unidad")</f>
        <v>151</v>
      </c>
      <c r="L554" s="9">
        <f t="shared" si="9"/>
        <v>1208</v>
      </c>
    </row>
    <row r="555" spans="1:12" ht="15" customHeight="1" x14ac:dyDescent="0.2">
      <c r="A555" s="14">
        <v>46186</v>
      </c>
      <c r="F555" s="7" t="str">
        <f>IFERROR(VLOOKUP(G555, data!A:B, 2, FALSE), "Tienda")</f>
        <v>SC PLAZA SAN PEDRO</v>
      </c>
      <c r="G555" s="1">
        <v>1140</v>
      </c>
      <c r="H555" s="2">
        <v>734</v>
      </c>
      <c r="I555" s="3" t="s">
        <v>12</v>
      </c>
      <c r="J555" s="4">
        <v>10</v>
      </c>
      <c r="K555" s="8">
        <f>IFERROR(VLOOKUP(I555, data!E:F, 2, FALSE), "Precio Unidad")</f>
        <v>95</v>
      </c>
      <c r="L555" s="9">
        <f t="shared" si="9"/>
        <v>950</v>
      </c>
    </row>
    <row r="556" spans="1:12" ht="15" customHeight="1" x14ac:dyDescent="0.2">
      <c r="A556" s="14">
        <v>46186</v>
      </c>
      <c r="F556" s="7" t="str">
        <f>IFERROR(VLOOKUP(G556, data!A:B, 2, FALSE), "Tienda")</f>
        <v>SC PLAZA SAN PEDRO</v>
      </c>
      <c r="G556" s="1">
        <v>1140</v>
      </c>
      <c r="H556" s="2">
        <v>734</v>
      </c>
      <c r="I556" s="3" t="s">
        <v>13</v>
      </c>
      <c r="J556" s="4">
        <v>8</v>
      </c>
      <c r="K556" s="8">
        <f>IFERROR(VLOOKUP(I556, data!E:F, 2, FALSE), "Precio Unidad")</f>
        <v>63</v>
      </c>
      <c r="L556" s="9">
        <f t="shared" si="9"/>
        <v>504</v>
      </c>
    </row>
    <row r="557" spans="1:12" ht="15" customHeight="1" x14ac:dyDescent="0.2">
      <c r="A557" s="14">
        <v>46186</v>
      </c>
      <c r="F557" s="7" t="str">
        <f>IFERROR(VLOOKUP(G557, data!A:B, 2, FALSE), "Tienda")</f>
        <v>SC MEXICALI NOVENA</v>
      </c>
      <c r="G557" s="1">
        <v>1617</v>
      </c>
      <c r="H557" s="2">
        <v>735</v>
      </c>
      <c r="I557" s="3" t="s">
        <v>6</v>
      </c>
      <c r="J557" s="4">
        <v>8</v>
      </c>
      <c r="K557" s="8">
        <f>IFERROR(VLOOKUP(I557, data!E:F, 2, FALSE), "Precio Unidad")</f>
        <v>167</v>
      </c>
      <c r="L557" s="9">
        <f t="shared" si="9"/>
        <v>1336</v>
      </c>
    </row>
    <row r="558" spans="1:12" ht="15" customHeight="1" x14ac:dyDescent="0.2">
      <c r="A558" s="14">
        <v>46186</v>
      </c>
      <c r="F558" s="7" t="str">
        <f>IFERROR(VLOOKUP(G558, data!A:B, 2, FALSE), "Tienda")</f>
        <v>SC MEXICALI NOVENA</v>
      </c>
      <c r="G558" s="1">
        <v>1617</v>
      </c>
      <c r="H558" s="2">
        <v>735</v>
      </c>
      <c r="I558" s="3" t="s">
        <v>7</v>
      </c>
      <c r="J558" s="4">
        <v>10</v>
      </c>
      <c r="K558" s="8">
        <f>IFERROR(VLOOKUP(I558, data!E:F, 2, FALSE), "Precio Unidad")</f>
        <v>113</v>
      </c>
      <c r="L558" s="9">
        <f t="shared" si="9"/>
        <v>1130</v>
      </c>
    </row>
    <row r="559" spans="1:12" ht="15" customHeight="1" x14ac:dyDescent="0.2">
      <c r="A559" s="14">
        <v>46186</v>
      </c>
      <c r="F559" s="7" t="str">
        <f>IFERROR(VLOOKUP(G559, data!A:B, 2, FALSE), "Tienda")</f>
        <v>SC MEXICALI NOVENA</v>
      </c>
      <c r="G559" s="1">
        <v>1617</v>
      </c>
      <c r="H559" s="2">
        <v>735</v>
      </c>
      <c r="I559" s="3" t="s">
        <v>10</v>
      </c>
      <c r="J559" s="4">
        <v>8</v>
      </c>
      <c r="K559" s="8">
        <f>IFERROR(VLOOKUP(I559, data!E:F, 2, FALSE), "Precio Unidad")</f>
        <v>151</v>
      </c>
      <c r="L559" s="9">
        <f t="shared" si="9"/>
        <v>1208</v>
      </c>
    </row>
    <row r="560" spans="1:12" ht="15" customHeight="1" x14ac:dyDescent="0.2">
      <c r="A560" s="14">
        <v>46186</v>
      </c>
      <c r="F560" s="7" t="str">
        <f>IFERROR(VLOOKUP(G560, data!A:B, 2, FALSE), "Tienda")</f>
        <v>SC MEXICALI NOVENA</v>
      </c>
      <c r="G560" s="1">
        <v>1617</v>
      </c>
      <c r="H560" s="2">
        <v>735</v>
      </c>
      <c r="I560" s="3" t="s">
        <v>12</v>
      </c>
      <c r="J560" s="4">
        <v>10</v>
      </c>
      <c r="K560" s="8">
        <f>IFERROR(VLOOKUP(I560, data!E:F, 2, FALSE), "Precio Unidad")</f>
        <v>95</v>
      </c>
      <c r="L560" s="9">
        <f t="shared" si="9"/>
        <v>950</v>
      </c>
    </row>
    <row r="561" spans="1:12" ht="15" customHeight="1" x14ac:dyDescent="0.2">
      <c r="A561" s="14">
        <v>46186</v>
      </c>
      <c r="F561" s="7" t="str">
        <f>IFERROR(VLOOKUP(G561, data!A:B, 2, FALSE), "Tienda")</f>
        <v>SC MEXICALI NOVENA</v>
      </c>
      <c r="G561" s="1">
        <v>1617</v>
      </c>
      <c r="H561" s="2">
        <v>735</v>
      </c>
      <c r="I561" s="3" t="s">
        <v>13</v>
      </c>
      <c r="J561" s="4">
        <v>8</v>
      </c>
      <c r="K561" s="8">
        <f>IFERROR(VLOOKUP(I561, data!E:F, 2, FALSE), "Precio Unidad")</f>
        <v>63</v>
      </c>
      <c r="L561" s="9">
        <f t="shared" si="9"/>
        <v>504</v>
      </c>
    </row>
    <row r="562" spans="1:12" ht="15" customHeight="1" x14ac:dyDescent="0.2">
      <c r="A562" s="14">
        <v>46188</v>
      </c>
      <c r="F562" s="7" t="str">
        <f>IFERROR(VLOOKUP(G562, data!A:B, 2, FALSE), "Tienda")</f>
        <v>SC PLAYAS DE TIJUANA</v>
      </c>
      <c r="G562" s="1">
        <v>1613</v>
      </c>
      <c r="H562" s="2">
        <v>736</v>
      </c>
      <c r="I562" s="3" t="s">
        <v>6</v>
      </c>
      <c r="J562" s="4">
        <v>4</v>
      </c>
      <c r="K562" s="8">
        <f>IFERROR(VLOOKUP(I562, data!E:F, 2, FALSE), "Precio Unidad")</f>
        <v>167</v>
      </c>
      <c r="L562" s="9">
        <f t="shared" si="9"/>
        <v>668</v>
      </c>
    </row>
    <row r="563" spans="1:12" ht="15" customHeight="1" x14ac:dyDescent="0.2">
      <c r="A563" s="14">
        <v>46188</v>
      </c>
      <c r="F563" s="7" t="str">
        <f>IFERROR(VLOOKUP(G563, data!A:B, 2, FALSE), "Tienda")</f>
        <v>SC PLAYAS DE TIJUANA</v>
      </c>
      <c r="G563" s="1">
        <v>1613</v>
      </c>
      <c r="H563" s="2">
        <v>736</v>
      </c>
      <c r="I563" s="3" t="s">
        <v>7</v>
      </c>
      <c r="J563" s="4">
        <v>6</v>
      </c>
      <c r="K563" s="8">
        <f>IFERROR(VLOOKUP(I563, data!E:F, 2, FALSE), "Precio Unidad")</f>
        <v>113</v>
      </c>
      <c r="L563" s="9">
        <f t="shared" si="9"/>
        <v>678</v>
      </c>
    </row>
    <row r="564" spans="1:12" ht="15" customHeight="1" x14ac:dyDescent="0.2">
      <c r="A564" s="14">
        <v>46188</v>
      </c>
      <c r="F564" s="7" t="str">
        <f>IFERROR(VLOOKUP(G564, data!A:B, 2, FALSE), "Tienda")</f>
        <v>SC PLAYAS DE TIJUANA</v>
      </c>
      <c r="G564" s="1">
        <v>1613</v>
      </c>
      <c r="H564" s="2">
        <v>736</v>
      </c>
      <c r="I564" s="3" t="s">
        <v>12</v>
      </c>
      <c r="J564" s="4">
        <v>10</v>
      </c>
      <c r="K564" s="8">
        <f>IFERROR(VLOOKUP(I564, data!E:F, 2, FALSE), "Precio Unidad")</f>
        <v>95</v>
      </c>
      <c r="L564" s="9">
        <f t="shared" si="9"/>
        <v>950</v>
      </c>
    </row>
    <row r="565" spans="1:12" ht="15" customHeight="1" x14ac:dyDescent="0.2">
      <c r="A565" s="14">
        <v>46188</v>
      </c>
      <c r="F565" s="7" t="str">
        <f>IFERROR(VLOOKUP(G565, data!A:B, 2, FALSE), "Tienda")</f>
        <v>SC PLAYAS DE TIJUANA</v>
      </c>
      <c r="G565" s="1">
        <v>1613</v>
      </c>
      <c r="H565" s="2">
        <v>736</v>
      </c>
      <c r="I565" s="3" t="s">
        <v>13</v>
      </c>
      <c r="J565" s="4">
        <v>16</v>
      </c>
      <c r="K565" s="8">
        <f>IFERROR(VLOOKUP(I565, data!E:F, 2, FALSE), "Precio Unidad")</f>
        <v>63</v>
      </c>
      <c r="L565" s="9">
        <f t="shared" si="9"/>
        <v>1008</v>
      </c>
    </row>
    <row r="566" spans="1:12" ht="15" customHeight="1" x14ac:dyDescent="0.2">
      <c r="A566" s="14">
        <v>46188</v>
      </c>
      <c r="F566" s="7" t="str">
        <f>IFERROR(VLOOKUP(G566, data!A:B, 2, FALSE), "Tienda")</f>
        <v>SC PACIFICO</v>
      </c>
      <c r="G566" s="1">
        <v>1616</v>
      </c>
      <c r="H566" s="2">
        <v>737</v>
      </c>
      <c r="I566" s="3" t="s">
        <v>12</v>
      </c>
      <c r="J566" s="4">
        <v>5</v>
      </c>
      <c r="K566" s="8">
        <f>IFERROR(VLOOKUP(I566, data!E:F, 2, FALSE), "Precio Unidad")</f>
        <v>95</v>
      </c>
      <c r="L566" s="9">
        <f t="shared" si="9"/>
        <v>475</v>
      </c>
    </row>
    <row r="567" spans="1:12" ht="15" customHeight="1" x14ac:dyDescent="0.2">
      <c r="A567" s="14">
        <v>46188</v>
      </c>
      <c r="F567" s="7" t="str">
        <f>IFERROR(VLOOKUP(G567, data!A:B, 2, FALSE), "Tienda")</f>
        <v>SC PACIFICO</v>
      </c>
      <c r="G567" s="1">
        <v>1616</v>
      </c>
      <c r="H567" s="2">
        <v>737</v>
      </c>
      <c r="I567" s="3" t="s">
        <v>13</v>
      </c>
      <c r="J567" s="4">
        <v>4</v>
      </c>
      <c r="K567" s="8">
        <f>IFERROR(VLOOKUP(I567, data!E:F, 2, FALSE), "Precio Unidad")</f>
        <v>63</v>
      </c>
      <c r="L567" s="9">
        <f t="shared" si="9"/>
        <v>252</v>
      </c>
    </row>
    <row r="568" spans="1:12" ht="15" customHeight="1" x14ac:dyDescent="0.2">
      <c r="A568" s="14">
        <v>46188</v>
      </c>
      <c r="F568" s="7" t="str">
        <f>IFERROR(VLOOKUP(G568, data!A:B, 2, FALSE), "Tienda")</f>
        <v>SC LOMAS DE SANTA FE</v>
      </c>
      <c r="G568" s="1">
        <v>190</v>
      </c>
      <c r="H568" s="2">
        <v>738</v>
      </c>
      <c r="I568" s="3" t="s">
        <v>12</v>
      </c>
      <c r="J568" s="4">
        <v>10</v>
      </c>
      <c r="K568" s="8">
        <f>IFERROR(VLOOKUP(I568, data!E:F, 2, FALSE), "Precio Unidad")</f>
        <v>95</v>
      </c>
      <c r="L568" s="9">
        <f t="shared" si="9"/>
        <v>950</v>
      </c>
    </row>
    <row r="569" spans="1:12" ht="15" customHeight="1" x14ac:dyDescent="0.2">
      <c r="A569" s="14">
        <v>46188</v>
      </c>
      <c r="F569" s="7" t="str">
        <f>IFERROR(VLOOKUP(G569, data!A:B, 2, FALSE), "Tienda")</f>
        <v>SC LOMAS DE SANTA FE</v>
      </c>
      <c r="G569" s="1">
        <v>190</v>
      </c>
      <c r="H569" s="2">
        <v>738</v>
      </c>
      <c r="I569" s="3" t="s">
        <v>13</v>
      </c>
      <c r="J569" s="4">
        <v>8</v>
      </c>
      <c r="K569" s="8">
        <f>IFERROR(VLOOKUP(I569, data!E:F, 2, FALSE), "Precio Unidad")</f>
        <v>63</v>
      </c>
      <c r="L569" s="9">
        <f t="shared" si="9"/>
        <v>504</v>
      </c>
    </row>
    <row r="570" spans="1:12" ht="15" customHeight="1" x14ac:dyDescent="0.2">
      <c r="A570" s="14">
        <v>46188</v>
      </c>
      <c r="F570" s="7" t="str">
        <f>IFERROR(VLOOKUP(G570, data!A:B, 2, FALSE), "Tienda")</f>
        <v>SC TIJUANA HIPODROMO</v>
      </c>
      <c r="G570" s="1">
        <v>4011</v>
      </c>
      <c r="H570" s="2">
        <v>739</v>
      </c>
      <c r="I570" s="3" t="s">
        <v>6</v>
      </c>
      <c r="J570" s="4">
        <v>4</v>
      </c>
      <c r="K570" s="8">
        <f>IFERROR(VLOOKUP(I570, data!E:F, 2, FALSE), "Precio Unidad")</f>
        <v>167</v>
      </c>
      <c r="L570" s="9">
        <f t="shared" si="9"/>
        <v>668</v>
      </c>
    </row>
    <row r="571" spans="1:12" ht="15" customHeight="1" x14ac:dyDescent="0.2">
      <c r="A571" s="14">
        <v>46188</v>
      </c>
      <c r="F571" s="7" t="str">
        <f>IFERROR(VLOOKUP(G571, data!A:B, 2, FALSE), "Tienda")</f>
        <v>SC TIJUANA HIPODROMO</v>
      </c>
      <c r="G571" s="1">
        <v>4011</v>
      </c>
      <c r="H571" s="2">
        <v>739</v>
      </c>
      <c r="I571" s="3" t="s">
        <v>7</v>
      </c>
      <c r="J571" s="4">
        <v>6</v>
      </c>
      <c r="K571" s="8">
        <f>IFERROR(VLOOKUP(I571, data!E:F, 2, FALSE), "Precio Unidad")</f>
        <v>113</v>
      </c>
      <c r="L571" s="9">
        <f t="shared" si="9"/>
        <v>678</v>
      </c>
    </row>
    <row r="572" spans="1:12" ht="15" customHeight="1" x14ac:dyDescent="0.2">
      <c r="A572" s="14">
        <v>46188</v>
      </c>
      <c r="F572" s="7" t="str">
        <f>IFERROR(VLOOKUP(G572, data!A:B, 2, FALSE), "Tienda")</f>
        <v>SC TIJUANA HIPODROMO</v>
      </c>
      <c r="G572" s="1">
        <v>4011</v>
      </c>
      <c r="H572" s="2">
        <v>739</v>
      </c>
      <c r="I572" s="3" t="s">
        <v>12</v>
      </c>
      <c r="J572" s="4">
        <v>10</v>
      </c>
      <c r="K572" s="8">
        <f>IFERROR(VLOOKUP(I572, data!E:F, 2, FALSE), "Precio Unidad")</f>
        <v>95</v>
      </c>
      <c r="L572" s="9">
        <f t="shared" si="9"/>
        <v>950</v>
      </c>
    </row>
    <row r="573" spans="1:12" ht="15" customHeight="1" x14ac:dyDescent="0.2">
      <c r="A573" s="14">
        <v>46188</v>
      </c>
      <c r="F573" s="7" t="str">
        <f>IFERROR(VLOOKUP(G573, data!A:B, 2, FALSE), "Tienda")</f>
        <v>SC TIJUANA HIPODROMO</v>
      </c>
      <c r="G573" s="1">
        <v>4011</v>
      </c>
      <c r="H573" s="2">
        <v>739</v>
      </c>
      <c r="I573" s="3" t="s">
        <v>13</v>
      </c>
      <c r="J573" s="4">
        <v>8</v>
      </c>
      <c r="K573" s="8">
        <f>IFERROR(VLOOKUP(I573, data!E:F, 2, FALSE), "Precio Unidad")</f>
        <v>63</v>
      </c>
      <c r="L573" s="9">
        <f t="shared" si="9"/>
        <v>504</v>
      </c>
    </row>
    <row r="574" spans="1:12" ht="15" customHeight="1" x14ac:dyDescent="0.2">
      <c r="A574" s="14">
        <v>46188</v>
      </c>
      <c r="F574" s="7" t="str">
        <f>IFERROR(VLOOKUP(G574, data!A:B, 2, FALSE), "Tienda")</f>
        <v>SC MACROPLAZA INSURGENTES</v>
      </c>
      <c r="G574" s="1">
        <v>2023</v>
      </c>
      <c r="H574" s="2">
        <v>740</v>
      </c>
      <c r="I574" s="3" t="s">
        <v>10</v>
      </c>
      <c r="J574" s="4">
        <v>8</v>
      </c>
      <c r="K574" s="8">
        <f>IFERROR(VLOOKUP(I574, data!E:F, 2, FALSE), "Precio Unidad")</f>
        <v>151</v>
      </c>
      <c r="L574" s="9">
        <f t="shared" si="9"/>
        <v>1208</v>
      </c>
    </row>
    <row r="575" spans="1:12" ht="15" customHeight="1" x14ac:dyDescent="0.2">
      <c r="A575" s="14">
        <v>46188</v>
      </c>
      <c r="F575" s="7" t="str">
        <f>IFERROR(VLOOKUP(G575, data!A:B, 2, FALSE), "Tienda")</f>
        <v>SC MACROPLAZA INSURGENTES</v>
      </c>
      <c r="G575" s="1">
        <v>2023</v>
      </c>
      <c r="H575" s="2">
        <v>740</v>
      </c>
      <c r="I575" s="3" t="s">
        <v>13</v>
      </c>
      <c r="J575" s="4">
        <v>8</v>
      </c>
      <c r="K575" s="8">
        <f>IFERROR(VLOOKUP(I575, data!E:F, 2, FALSE), "Precio Unidad")</f>
        <v>63</v>
      </c>
      <c r="L575" s="9">
        <f t="shared" si="9"/>
        <v>504</v>
      </c>
    </row>
    <row r="576" spans="1:12" ht="15" customHeight="1" x14ac:dyDescent="0.2">
      <c r="A576" s="14">
        <v>46188</v>
      </c>
      <c r="F576" s="7" t="str">
        <f>IFERROR(VLOOKUP(G576, data!A:B, 2, FALSE), "Tienda")</f>
        <v>SC TIJUANA 2000</v>
      </c>
      <c r="G576" s="1">
        <v>4155</v>
      </c>
      <c r="H576" s="2">
        <v>742</v>
      </c>
      <c r="I576" s="3" t="s">
        <v>12</v>
      </c>
      <c r="J576" s="4">
        <v>10</v>
      </c>
      <c r="K576" s="8">
        <f>IFERROR(VLOOKUP(I576, data!E:F, 2, FALSE), "Precio Unidad")</f>
        <v>95</v>
      </c>
      <c r="L576" s="9">
        <f t="shared" si="9"/>
        <v>950</v>
      </c>
    </row>
    <row r="577" spans="1:12" ht="15" customHeight="1" x14ac:dyDescent="0.2">
      <c r="A577" s="14">
        <v>46188</v>
      </c>
      <c r="F577" s="7" t="str">
        <f>IFERROR(VLOOKUP(G577, data!A:B, 2, FALSE), "Tienda")</f>
        <v>SC TIJUANA 2000</v>
      </c>
      <c r="G577" s="1">
        <v>4155</v>
      </c>
      <c r="H577" s="2">
        <v>742</v>
      </c>
      <c r="I577" s="3" t="s">
        <v>13</v>
      </c>
      <c r="J577" s="4">
        <v>8</v>
      </c>
      <c r="K577" s="8">
        <f>IFERROR(VLOOKUP(I577, data!E:F, 2, FALSE), "Precio Unidad")</f>
        <v>63</v>
      </c>
      <c r="L577" s="9">
        <f t="shared" si="9"/>
        <v>504</v>
      </c>
    </row>
    <row r="578" spans="1:12" ht="15" customHeight="1" x14ac:dyDescent="0.2">
      <c r="A578" s="14">
        <v>46188</v>
      </c>
      <c r="F578" s="7" t="str">
        <f>IFERROR(VLOOKUP(G578, data!A:B, 2, FALSE), "Tienda")</f>
        <v>SC ROSARITO</v>
      </c>
      <c r="G578" s="1">
        <v>4187</v>
      </c>
      <c r="H578" s="2">
        <v>743</v>
      </c>
      <c r="I578" s="3" t="s">
        <v>6</v>
      </c>
      <c r="J578" s="4">
        <v>4</v>
      </c>
      <c r="K578" s="8">
        <f>IFERROR(VLOOKUP(I578, data!E:F, 2, FALSE), "Precio Unidad")</f>
        <v>167</v>
      </c>
      <c r="L578" s="9">
        <f t="shared" si="9"/>
        <v>668</v>
      </c>
    </row>
    <row r="579" spans="1:12" ht="15" customHeight="1" x14ac:dyDescent="0.2">
      <c r="A579" s="14">
        <v>46188</v>
      </c>
      <c r="F579" s="7" t="str">
        <f>IFERROR(VLOOKUP(G579, data!A:B, 2, FALSE), "Tienda")</f>
        <v>SC ROSARITO</v>
      </c>
      <c r="G579" s="1">
        <v>4187</v>
      </c>
      <c r="H579" s="2">
        <v>743</v>
      </c>
      <c r="I579" s="3" t="s">
        <v>7</v>
      </c>
      <c r="J579" s="4">
        <v>6</v>
      </c>
      <c r="K579" s="8">
        <f>IFERROR(VLOOKUP(I579, data!E:F, 2, FALSE), "Precio Unidad")</f>
        <v>113</v>
      </c>
      <c r="L579" s="9">
        <f t="shared" si="9"/>
        <v>678</v>
      </c>
    </row>
    <row r="580" spans="1:12" ht="15" customHeight="1" x14ac:dyDescent="0.2">
      <c r="A580" s="14">
        <v>46188</v>
      </c>
      <c r="F580" s="7" t="str">
        <f>IFERROR(VLOOKUP(G580, data!A:B, 2, FALSE), "Tienda")</f>
        <v>SC ROSARITO</v>
      </c>
      <c r="G580" s="1">
        <v>4187</v>
      </c>
      <c r="H580" s="2">
        <v>743</v>
      </c>
      <c r="I580" s="3" t="s">
        <v>12</v>
      </c>
      <c r="J580" s="4">
        <v>10</v>
      </c>
      <c r="K580" s="8">
        <f>IFERROR(VLOOKUP(I580, data!E:F, 2, FALSE), "Precio Unidad")</f>
        <v>95</v>
      </c>
      <c r="L580" s="9">
        <f t="shared" si="9"/>
        <v>950</v>
      </c>
    </row>
    <row r="581" spans="1:12" ht="15" customHeight="1" x14ac:dyDescent="0.2">
      <c r="A581" s="14">
        <v>46188</v>
      </c>
      <c r="F581" s="7" t="str">
        <f>IFERROR(VLOOKUP(G581, data!A:B, 2, FALSE), "Tienda")</f>
        <v>SC ROSARITO</v>
      </c>
      <c r="G581" s="1">
        <v>4187</v>
      </c>
      <c r="H581" s="2">
        <v>743</v>
      </c>
      <c r="I581" s="3" t="s">
        <v>13</v>
      </c>
      <c r="J581" s="4">
        <v>16</v>
      </c>
      <c r="K581" s="8">
        <f>IFERROR(VLOOKUP(I581, data!E:F, 2, FALSE), "Precio Unidad")</f>
        <v>63</v>
      </c>
      <c r="L581" s="9">
        <f t="shared" si="9"/>
        <v>1008</v>
      </c>
    </row>
    <row r="582" spans="1:12" ht="15" customHeight="1" x14ac:dyDescent="0.2">
      <c r="A582" s="14">
        <v>46188</v>
      </c>
      <c r="F582" s="7" t="str">
        <f>IFERROR(VLOOKUP(G582, data!A:B, 2, FALSE), "Tienda")</f>
        <v>SC TECATE GARITA</v>
      </c>
      <c r="G582" s="1">
        <v>5295</v>
      </c>
      <c r="H582" s="2">
        <v>744</v>
      </c>
      <c r="I582" s="3" t="s">
        <v>10</v>
      </c>
      <c r="J582" s="4">
        <v>8</v>
      </c>
      <c r="K582" s="8">
        <f>IFERROR(VLOOKUP(I582, data!E:F, 2, FALSE), "Precio Unidad")</f>
        <v>151</v>
      </c>
      <c r="L582" s="9">
        <f t="shared" si="9"/>
        <v>1208</v>
      </c>
    </row>
    <row r="583" spans="1:12" ht="15" customHeight="1" x14ac:dyDescent="0.2">
      <c r="A583" s="14">
        <v>46188</v>
      </c>
      <c r="F583" s="7" t="str">
        <f>IFERROR(VLOOKUP(G583, data!A:B, 2, FALSE), "Tienda")</f>
        <v>SC TECATE GARITA</v>
      </c>
      <c r="G583" s="1">
        <v>5295</v>
      </c>
      <c r="H583" s="2">
        <v>744</v>
      </c>
      <c r="I583" s="3" t="s">
        <v>12</v>
      </c>
      <c r="J583" s="4">
        <v>10</v>
      </c>
      <c r="K583" s="8">
        <f>IFERROR(VLOOKUP(I583, data!E:F, 2, FALSE), "Precio Unidad")</f>
        <v>95</v>
      </c>
      <c r="L583" s="9">
        <f t="shared" si="9"/>
        <v>950</v>
      </c>
    </row>
    <row r="584" spans="1:12" ht="15" customHeight="1" x14ac:dyDescent="0.2">
      <c r="A584" s="14">
        <v>46188</v>
      </c>
      <c r="F584" s="7" t="str">
        <f>IFERROR(VLOOKUP(G584, data!A:B, 2, FALSE), "Tienda")</f>
        <v>SC TECATE GARITA</v>
      </c>
      <c r="G584" s="1">
        <v>5295</v>
      </c>
      <c r="H584" s="2">
        <v>744</v>
      </c>
      <c r="I584" s="3" t="s">
        <v>13</v>
      </c>
      <c r="J584" s="4">
        <v>8</v>
      </c>
      <c r="K584" s="8">
        <f>IFERROR(VLOOKUP(I584, data!E:F, 2, FALSE), "Precio Unidad")</f>
        <v>63</v>
      </c>
      <c r="L584" s="9">
        <f t="shared" si="9"/>
        <v>504</v>
      </c>
    </row>
    <row r="585" spans="1:12" ht="15" customHeight="1" x14ac:dyDescent="0.2">
      <c r="A585" s="14">
        <v>46190</v>
      </c>
      <c r="F585" s="7" t="str">
        <f>IFERROR(VLOOKUP(G585, data!A:B, 2, FALSE), "Tienda")</f>
        <v>SC TECATE GARITA</v>
      </c>
      <c r="G585" s="1">
        <v>5295</v>
      </c>
      <c r="H585" s="2">
        <v>745</v>
      </c>
      <c r="I585" s="3" t="s">
        <v>6</v>
      </c>
      <c r="J585" s="4">
        <v>4</v>
      </c>
      <c r="K585" s="8">
        <f>IFERROR(VLOOKUP(I585, data!E:F, 2, FALSE), "Precio Unidad")</f>
        <v>167</v>
      </c>
      <c r="L585" s="9">
        <f t="shared" si="9"/>
        <v>668</v>
      </c>
    </row>
    <row r="586" spans="1:12" ht="15" customHeight="1" x14ac:dyDescent="0.2">
      <c r="A586" s="14">
        <v>46190</v>
      </c>
      <c r="F586" s="7" t="str">
        <f>IFERROR(VLOOKUP(G586, data!A:B, 2, FALSE), "Tienda")</f>
        <v>SC TECATE GARITA</v>
      </c>
      <c r="G586" s="1">
        <v>5295</v>
      </c>
      <c r="H586" s="2">
        <v>745</v>
      </c>
      <c r="I586" s="3" t="s">
        <v>7</v>
      </c>
      <c r="J586" s="4">
        <v>6</v>
      </c>
      <c r="K586" s="8">
        <f>IFERROR(VLOOKUP(I586, data!E:F, 2, FALSE), "Precio Unidad")</f>
        <v>113</v>
      </c>
      <c r="L586" s="9">
        <f t="shared" si="9"/>
        <v>678</v>
      </c>
    </row>
    <row r="587" spans="1:12" ht="15" customHeight="1" x14ac:dyDescent="0.2">
      <c r="A587" s="14">
        <v>46190</v>
      </c>
      <c r="F587" s="7" t="str">
        <f>IFERROR(VLOOKUP(G587, data!A:B, 2, FALSE), "Tienda")</f>
        <v>SC TECATE GARITA</v>
      </c>
      <c r="G587" s="1">
        <v>5295</v>
      </c>
      <c r="H587" s="2">
        <v>745</v>
      </c>
      <c r="I587" s="3" t="s">
        <v>10</v>
      </c>
      <c r="J587" s="4">
        <v>8</v>
      </c>
      <c r="K587" s="8">
        <f>IFERROR(VLOOKUP(I587, data!E:F, 2, FALSE), "Precio Unidad")</f>
        <v>151</v>
      </c>
      <c r="L587" s="9">
        <f t="shared" si="9"/>
        <v>1208</v>
      </c>
    </row>
    <row r="588" spans="1:12" ht="15" customHeight="1" x14ac:dyDescent="0.2">
      <c r="A588" s="14">
        <v>46190</v>
      </c>
      <c r="F588" s="7" t="str">
        <f>IFERROR(VLOOKUP(G588, data!A:B, 2, FALSE), "Tienda")</f>
        <v>SC TECATE GARITA</v>
      </c>
      <c r="G588" s="1">
        <v>5295</v>
      </c>
      <c r="H588" s="2">
        <v>745</v>
      </c>
      <c r="I588" s="3" t="s">
        <v>12</v>
      </c>
      <c r="J588" s="4">
        <v>10</v>
      </c>
      <c r="K588" s="8">
        <f>IFERROR(VLOOKUP(I588, data!E:F, 2, FALSE), "Precio Unidad")</f>
        <v>95</v>
      </c>
      <c r="L588" s="9">
        <f t="shared" si="9"/>
        <v>950</v>
      </c>
    </row>
    <row r="589" spans="1:12" ht="15" customHeight="1" x14ac:dyDescent="0.2">
      <c r="A589" s="14">
        <v>46190</v>
      </c>
      <c r="F589" s="7" t="str">
        <f>IFERROR(VLOOKUP(G589, data!A:B, 2, FALSE), "Tienda")</f>
        <v>SC TECATE GARITA</v>
      </c>
      <c r="G589" s="1">
        <v>5295</v>
      </c>
      <c r="H589" s="2">
        <v>745</v>
      </c>
      <c r="I589" s="3" t="s">
        <v>13</v>
      </c>
      <c r="J589" s="4">
        <v>8</v>
      </c>
      <c r="K589" s="8">
        <f>IFERROR(VLOOKUP(I589, data!E:F, 2, FALSE), "Precio Unidad")</f>
        <v>63</v>
      </c>
      <c r="L589" s="9">
        <f t="shared" ref="L589:L645" si="10">K589*J589</f>
        <v>504</v>
      </c>
    </row>
    <row r="590" spans="1:12" ht="15" customHeight="1" x14ac:dyDescent="0.2">
      <c r="A590" s="14">
        <v>46190</v>
      </c>
      <c r="F590" s="7" t="str">
        <f>IFERROR(VLOOKUP(G590, data!A:B, 2, FALSE), "Tienda")</f>
        <v>SC ROSARITO</v>
      </c>
      <c r="G590" s="1">
        <v>4187</v>
      </c>
      <c r="H590" s="2">
        <v>746</v>
      </c>
      <c r="I590" s="3" t="s">
        <v>10</v>
      </c>
      <c r="J590" s="4">
        <v>8</v>
      </c>
      <c r="K590" s="8">
        <f>IFERROR(VLOOKUP(I590, data!E:F, 2, FALSE), "Precio Unidad")</f>
        <v>151</v>
      </c>
      <c r="L590" s="9">
        <f t="shared" si="10"/>
        <v>1208</v>
      </c>
    </row>
    <row r="591" spans="1:12" ht="15" customHeight="1" x14ac:dyDescent="0.2">
      <c r="A591" s="14">
        <v>46190</v>
      </c>
      <c r="F591" s="7" t="str">
        <f>IFERROR(VLOOKUP(G591, data!A:B, 2, FALSE), "Tienda")</f>
        <v>SC ROSARITO</v>
      </c>
      <c r="G591" s="1">
        <v>4187</v>
      </c>
      <c r="H591" s="2">
        <v>746</v>
      </c>
      <c r="I591" s="3" t="s">
        <v>12</v>
      </c>
      <c r="J591" s="4">
        <v>10</v>
      </c>
      <c r="K591" s="8">
        <f>IFERROR(VLOOKUP(I591, data!E:F, 2, FALSE), "Precio Unidad")</f>
        <v>95</v>
      </c>
      <c r="L591" s="9">
        <f t="shared" si="10"/>
        <v>950</v>
      </c>
    </row>
    <row r="592" spans="1:12" ht="15" customHeight="1" x14ac:dyDescent="0.2">
      <c r="A592" s="14">
        <v>46190</v>
      </c>
      <c r="F592" s="7" t="str">
        <f>IFERROR(VLOOKUP(G592, data!A:B, 2, FALSE), "Tienda")</f>
        <v>SC ROSARITO</v>
      </c>
      <c r="G592" s="1">
        <v>4187</v>
      </c>
      <c r="H592" s="2">
        <v>746</v>
      </c>
      <c r="I592" s="3" t="s">
        <v>13</v>
      </c>
      <c r="J592" s="4">
        <v>8</v>
      </c>
      <c r="K592" s="8">
        <f>IFERROR(VLOOKUP(I592, data!E:F, 2, FALSE), "Precio Unidad")</f>
        <v>63</v>
      </c>
      <c r="L592" s="9">
        <f t="shared" si="10"/>
        <v>504</v>
      </c>
    </row>
    <row r="593" spans="1:12" ht="15" customHeight="1" x14ac:dyDescent="0.2">
      <c r="A593" s="14">
        <v>46190</v>
      </c>
      <c r="F593" s="7" t="str">
        <f>IFERROR(VLOOKUP(G593, data!A:B, 2, FALSE), "Tienda")</f>
        <v>SC TIJUANA 2000</v>
      </c>
      <c r="G593" s="1">
        <v>4155</v>
      </c>
      <c r="H593" s="2">
        <v>747</v>
      </c>
      <c r="I593" s="3" t="s">
        <v>6</v>
      </c>
      <c r="J593" s="4">
        <v>4</v>
      </c>
      <c r="K593" s="8">
        <f>IFERROR(VLOOKUP(I593, data!E:F, 2, FALSE), "Precio Unidad")</f>
        <v>167</v>
      </c>
      <c r="L593" s="9">
        <f t="shared" si="10"/>
        <v>668</v>
      </c>
    </row>
    <row r="594" spans="1:12" ht="15" customHeight="1" x14ac:dyDescent="0.2">
      <c r="A594" s="14">
        <v>46190</v>
      </c>
      <c r="F594" s="7" t="str">
        <f>IFERROR(VLOOKUP(G594, data!A:B, 2, FALSE), "Tienda")</f>
        <v>SC TIJUANA 2000</v>
      </c>
      <c r="G594" s="1">
        <v>4155</v>
      </c>
      <c r="H594" s="2">
        <v>747</v>
      </c>
      <c r="I594" s="3" t="s">
        <v>7</v>
      </c>
      <c r="J594" s="4">
        <v>6</v>
      </c>
      <c r="K594" s="8">
        <f>IFERROR(VLOOKUP(I594, data!E:F, 2, FALSE), "Precio Unidad")</f>
        <v>113</v>
      </c>
      <c r="L594" s="9">
        <f t="shared" si="10"/>
        <v>678</v>
      </c>
    </row>
    <row r="595" spans="1:12" ht="15" customHeight="1" x14ac:dyDescent="0.2">
      <c r="A595" s="14">
        <v>46190</v>
      </c>
      <c r="F595" s="7" t="str">
        <f>IFERROR(VLOOKUP(G595, data!A:B, 2, FALSE), "Tienda")</f>
        <v>SC TIJUANA 2000</v>
      </c>
      <c r="G595" s="1">
        <v>4155</v>
      </c>
      <c r="H595" s="2">
        <v>747</v>
      </c>
      <c r="I595" s="3" t="s">
        <v>13</v>
      </c>
      <c r="J595" s="4">
        <v>8</v>
      </c>
      <c r="K595" s="8">
        <f>IFERROR(VLOOKUP(I595, data!E:F, 2, FALSE), "Precio Unidad")</f>
        <v>63</v>
      </c>
      <c r="L595" s="9">
        <f t="shared" si="10"/>
        <v>504</v>
      </c>
    </row>
    <row r="596" spans="1:12" ht="15" customHeight="1" x14ac:dyDescent="0.2">
      <c r="A596" s="14">
        <v>46190</v>
      </c>
      <c r="F596" s="7" t="str">
        <f>IFERROR(VLOOKUP(G596, data!A:B, 2, FALSE), "Tienda")</f>
        <v>SC TIJUANA HIPODROMO</v>
      </c>
      <c r="G596" s="1">
        <v>4011</v>
      </c>
      <c r="H596" s="2">
        <v>748</v>
      </c>
      <c r="I596" s="3" t="s">
        <v>10</v>
      </c>
      <c r="J596" s="4">
        <v>8</v>
      </c>
      <c r="K596" s="8">
        <f>IFERROR(VLOOKUP(I596, data!E:F, 2, FALSE), "Precio Unidad")</f>
        <v>151</v>
      </c>
      <c r="L596" s="9">
        <f t="shared" si="10"/>
        <v>1208</v>
      </c>
    </row>
    <row r="597" spans="1:12" ht="15" customHeight="1" x14ac:dyDescent="0.2">
      <c r="A597" s="14">
        <v>46190</v>
      </c>
      <c r="F597" s="7" t="str">
        <f>IFERROR(VLOOKUP(G597, data!A:B, 2, FALSE), "Tienda")</f>
        <v>SC TIJUANA HIPODROMO</v>
      </c>
      <c r="G597" s="1">
        <v>4011</v>
      </c>
      <c r="H597" s="2">
        <v>748</v>
      </c>
      <c r="I597" s="3" t="s">
        <v>13</v>
      </c>
      <c r="J597" s="4">
        <v>8</v>
      </c>
      <c r="K597" s="8">
        <f>IFERROR(VLOOKUP(I597, data!E:F, 2, FALSE), "Precio Unidad")</f>
        <v>63</v>
      </c>
      <c r="L597" s="9">
        <f t="shared" si="10"/>
        <v>504</v>
      </c>
    </row>
    <row r="598" spans="1:12" ht="15" customHeight="1" x14ac:dyDescent="0.2">
      <c r="A598" s="14">
        <v>46190</v>
      </c>
      <c r="F598" s="7" t="str">
        <f>IFERROR(VLOOKUP(G598, data!A:B, 2, FALSE), "Tienda")</f>
        <v>SC DIAZ ORDAZ</v>
      </c>
      <c r="G598" s="1">
        <v>3664</v>
      </c>
      <c r="H598" s="2">
        <v>749</v>
      </c>
      <c r="I598" s="3" t="s">
        <v>10</v>
      </c>
      <c r="J598" s="4">
        <v>4</v>
      </c>
      <c r="K598" s="8">
        <f>IFERROR(VLOOKUP(I598, data!E:F, 2, FALSE), "Precio Unidad")</f>
        <v>151</v>
      </c>
      <c r="L598" s="9">
        <f t="shared" si="10"/>
        <v>604</v>
      </c>
    </row>
    <row r="599" spans="1:12" ht="15" customHeight="1" x14ac:dyDescent="0.2">
      <c r="A599" s="14">
        <v>46190</v>
      </c>
      <c r="F599" s="7" t="str">
        <f>IFERROR(VLOOKUP(G599, data!A:B, 2, FALSE), "Tienda")</f>
        <v>SC DIAZ ORDAZ</v>
      </c>
      <c r="G599" s="1">
        <v>3664</v>
      </c>
      <c r="H599" s="2">
        <v>749</v>
      </c>
      <c r="I599" s="3" t="s">
        <v>12</v>
      </c>
      <c r="J599" s="4">
        <v>5</v>
      </c>
      <c r="K599" s="8">
        <f>IFERROR(VLOOKUP(I599, data!E:F, 2, FALSE), "Precio Unidad")</f>
        <v>95</v>
      </c>
      <c r="L599" s="9">
        <f t="shared" si="10"/>
        <v>475</v>
      </c>
    </row>
    <row r="600" spans="1:12" ht="15" customHeight="1" x14ac:dyDescent="0.2">
      <c r="A600" s="14">
        <v>46190</v>
      </c>
      <c r="F600" s="7" t="str">
        <f>IFERROR(VLOOKUP(G600, data!A:B, 2, FALSE), "Tienda")</f>
        <v>SC ENSENADA</v>
      </c>
      <c r="G600" s="1">
        <v>3015</v>
      </c>
      <c r="H600" s="2">
        <v>750</v>
      </c>
      <c r="I600" s="3" t="s">
        <v>10</v>
      </c>
      <c r="J600" s="4">
        <v>8</v>
      </c>
      <c r="K600" s="8">
        <f>IFERROR(VLOOKUP(I600, data!E:F, 2, FALSE), "Precio Unidad")</f>
        <v>151</v>
      </c>
      <c r="L600" s="9">
        <f t="shared" si="10"/>
        <v>1208</v>
      </c>
    </row>
    <row r="601" spans="1:12" ht="15" customHeight="1" x14ac:dyDescent="0.2">
      <c r="A601" s="14">
        <v>46190</v>
      </c>
      <c r="F601" s="7" t="str">
        <f>IFERROR(VLOOKUP(G601, data!A:B, 2, FALSE), "Tienda")</f>
        <v>SC ENSENADA</v>
      </c>
      <c r="G601" s="1">
        <v>3015</v>
      </c>
      <c r="H601" s="2">
        <v>750</v>
      </c>
      <c r="I601" s="3" t="s">
        <v>12</v>
      </c>
      <c r="J601" s="4">
        <v>10</v>
      </c>
      <c r="K601" s="8">
        <f>IFERROR(VLOOKUP(I601, data!E:F, 2, FALSE), "Precio Unidad")</f>
        <v>95</v>
      </c>
      <c r="L601" s="9">
        <f t="shared" si="10"/>
        <v>950</v>
      </c>
    </row>
    <row r="602" spans="1:12" ht="15" customHeight="1" x14ac:dyDescent="0.2">
      <c r="A602" s="14">
        <v>46190</v>
      </c>
      <c r="F602" s="7" t="str">
        <f>IFERROR(VLOOKUP(G602, data!A:B, 2, FALSE), "Tienda")</f>
        <v>SC ENSENADA</v>
      </c>
      <c r="G602" s="1">
        <v>3015</v>
      </c>
      <c r="H602" s="2">
        <v>750</v>
      </c>
      <c r="I602" s="3" t="s">
        <v>13</v>
      </c>
      <c r="J602" s="4">
        <v>8</v>
      </c>
      <c r="K602" s="8">
        <f>IFERROR(VLOOKUP(I602, data!E:F, 2, FALSE), "Precio Unidad")</f>
        <v>63</v>
      </c>
      <c r="L602" s="9">
        <f t="shared" si="10"/>
        <v>504</v>
      </c>
    </row>
    <row r="603" spans="1:12" ht="15" customHeight="1" x14ac:dyDescent="0.2">
      <c r="A603" s="14">
        <v>46190</v>
      </c>
      <c r="F603" s="7" t="str">
        <f>IFERROR(VLOOKUP(G603, data!A:B, 2, FALSE), "Tienda")</f>
        <v>SC ENSENADA CENTRO</v>
      </c>
      <c r="G603" s="1">
        <v>2947</v>
      </c>
      <c r="H603" s="2">
        <v>751</v>
      </c>
      <c r="I603" s="3" t="s">
        <v>10</v>
      </c>
      <c r="J603" s="4">
        <v>8</v>
      </c>
      <c r="K603" s="8">
        <f>IFERROR(VLOOKUP(I603, data!E:F, 2, FALSE), "Precio Unidad")</f>
        <v>151</v>
      </c>
      <c r="L603" s="9">
        <f t="shared" si="10"/>
        <v>1208</v>
      </c>
    </row>
    <row r="604" spans="1:12" ht="15" customHeight="1" x14ac:dyDescent="0.2">
      <c r="A604" s="14">
        <v>46190</v>
      </c>
      <c r="F604" s="7" t="str">
        <f>IFERROR(VLOOKUP(G604, data!A:B, 2, FALSE), "Tienda")</f>
        <v>SC ENSENADA CENTRO</v>
      </c>
      <c r="G604" s="1">
        <v>2947</v>
      </c>
      <c r="H604" s="2">
        <v>751</v>
      </c>
      <c r="I604" s="3" t="s">
        <v>12</v>
      </c>
      <c r="J604" s="4">
        <v>10</v>
      </c>
      <c r="K604" s="8">
        <f>IFERROR(VLOOKUP(I604, data!E:F, 2, FALSE), "Precio Unidad")</f>
        <v>95</v>
      </c>
      <c r="L604" s="9">
        <f t="shared" si="10"/>
        <v>950</v>
      </c>
    </row>
    <row r="605" spans="1:12" ht="15" customHeight="1" x14ac:dyDescent="0.2">
      <c r="A605" s="14">
        <v>46190</v>
      </c>
      <c r="F605" s="7" t="str">
        <f>IFERROR(VLOOKUP(G605, data!A:B, 2, FALSE), "Tienda")</f>
        <v>SC ENSENADA CENTRO</v>
      </c>
      <c r="G605" s="1">
        <v>2947</v>
      </c>
      <c r="H605" s="2">
        <v>751</v>
      </c>
      <c r="I605" s="3" t="s">
        <v>13</v>
      </c>
      <c r="J605" s="4">
        <v>8</v>
      </c>
      <c r="K605" s="8">
        <f>IFERROR(VLOOKUP(I605, data!E:F, 2, FALSE), "Precio Unidad")</f>
        <v>63</v>
      </c>
      <c r="L605" s="9">
        <f t="shared" si="10"/>
        <v>504</v>
      </c>
    </row>
    <row r="606" spans="1:12" ht="15" customHeight="1" x14ac:dyDescent="0.2">
      <c r="A606" s="14">
        <v>46190</v>
      </c>
      <c r="F606" s="7" t="str">
        <f>IFERROR(VLOOKUP(G606, data!A:B, 2, FALSE), "Tienda")</f>
        <v>SC MACROPLAZA INSURGENTES</v>
      </c>
      <c r="G606" s="1">
        <v>2023</v>
      </c>
      <c r="H606" s="2">
        <v>752</v>
      </c>
      <c r="I606" s="3" t="s">
        <v>6</v>
      </c>
      <c r="J606" s="4">
        <v>4</v>
      </c>
      <c r="K606" s="8">
        <f>IFERROR(VLOOKUP(I606, data!E:F, 2, FALSE), "Precio Unidad")</f>
        <v>167</v>
      </c>
      <c r="L606" s="9">
        <f t="shared" si="10"/>
        <v>668</v>
      </c>
    </row>
    <row r="607" spans="1:12" ht="15" customHeight="1" x14ac:dyDescent="0.2">
      <c r="A607" s="14">
        <v>46190</v>
      </c>
      <c r="F607" s="7" t="str">
        <f>IFERROR(VLOOKUP(G607, data!A:B, 2, FALSE), "Tienda")</f>
        <v>SC MACROPLAZA INSURGENTES</v>
      </c>
      <c r="G607" s="1">
        <v>2023</v>
      </c>
      <c r="H607" s="2">
        <v>752</v>
      </c>
      <c r="I607" s="3" t="s">
        <v>7</v>
      </c>
      <c r="J607" s="4">
        <v>6</v>
      </c>
      <c r="K607" s="8">
        <f>IFERROR(VLOOKUP(I607, data!E:F, 2, FALSE), "Precio Unidad")</f>
        <v>113</v>
      </c>
      <c r="L607" s="9">
        <f t="shared" si="10"/>
        <v>678</v>
      </c>
    </row>
    <row r="608" spans="1:12" ht="15" customHeight="1" x14ac:dyDescent="0.2">
      <c r="A608" s="14">
        <v>46190</v>
      </c>
      <c r="F608" s="7" t="str">
        <f>IFERROR(VLOOKUP(G608, data!A:B, 2, FALSE), "Tienda")</f>
        <v>SC MACROPLAZA INSURGENTES</v>
      </c>
      <c r="G608" s="1">
        <v>2023</v>
      </c>
      <c r="H608" s="2">
        <v>752</v>
      </c>
      <c r="I608" s="3" t="s">
        <v>10</v>
      </c>
      <c r="J608" s="4">
        <v>8</v>
      </c>
      <c r="K608" s="8">
        <f>IFERROR(VLOOKUP(I608, data!E:F, 2, FALSE), "Precio Unidad")</f>
        <v>151</v>
      </c>
      <c r="L608" s="9">
        <f t="shared" si="10"/>
        <v>1208</v>
      </c>
    </row>
    <row r="609" spans="1:12" ht="15" customHeight="1" x14ac:dyDescent="0.2">
      <c r="A609" s="14">
        <v>46190</v>
      </c>
      <c r="F609" s="7" t="str">
        <f>IFERROR(VLOOKUP(G609, data!A:B, 2, FALSE), "Tienda")</f>
        <v>SC MACROPLAZA INSURGENTES</v>
      </c>
      <c r="G609" s="1">
        <v>2023</v>
      </c>
      <c r="H609" s="2">
        <v>752</v>
      </c>
      <c r="I609" s="3" t="s">
        <v>12</v>
      </c>
      <c r="J609" s="4">
        <v>10</v>
      </c>
      <c r="K609" s="8">
        <f>IFERROR(VLOOKUP(I609, data!E:F, 2, FALSE), "Precio Unidad")</f>
        <v>95</v>
      </c>
      <c r="L609" s="9">
        <f t="shared" si="10"/>
        <v>950</v>
      </c>
    </row>
    <row r="610" spans="1:12" ht="15" customHeight="1" x14ac:dyDescent="0.2">
      <c r="A610" s="14">
        <v>46190</v>
      </c>
      <c r="F610" s="7" t="str">
        <f>IFERROR(VLOOKUP(G610, data!A:B, 2, FALSE), "Tienda")</f>
        <v>SC MACROPLAZA INSURGENTES</v>
      </c>
      <c r="G610" s="1">
        <v>2023</v>
      </c>
      <c r="H610" s="2">
        <v>752</v>
      </c>
      <c r="I610" s="3" t="s">
        <v>13</v>
      </c>
      <c r="J610" s="4">
        <v>8</v>
      </c>
      <c r="K610" s="8">
        <f>IFERROR(VLOOKUP(I610, data!E:F, 2, FALSE), "Precio Unidad")</f>
        <v>63</v>
      </c>
      <c r="L610" s="9">
        <f t="shared" si="10"/>
        <v>504</v>
      </c>
    </row>
    <row r="611" spans="1:12" ht="15" customHeight="1" x14ac:dyDescent="0.2">
      <c r="A611" s="14">
        <v>46190</v>
      </c>
      <c r="F611" s="7" t="str">
        <f>IFERROR(VLOOKUP(G611, data!A:B, 2, FALSE), "Tienda")</f>
        <v>SC LOMAS DE SANTA FE</v>
      </c>
      <c r="G611" s="1">
        <v>190</v>
      </c>
      <c r="H611" s="2">
        <v>753</v>
      </c>
      <c r="I611" s="3" t="s">
        <v>6</v>
      </c>
      <c r="J611" s="4">
        <v>4</v>
      </c>
      <c r="K611" s="8">
        <f>IFERROR(VLOOKUP(I611, data!E:F, 2, FALSE), "Precio Unidad")</f>
        <v>167</v>
      </c>
      <c r="L611" s="9">
        <f t="shared" si="10"/>
        <v>668</v>
      </c>
    </row>
    <row r="612" spans="1:12" ht="15" customHeight="1" x14ac:dyDescent="0.2">
      <c r="A612" s="14">
        <v>46190</v>
      </c>
      <c r="F612" s="7" t="str">
        <f>IFERROR(VLOOKUP(G612, data!A:B, 2, FALSE), "Tienda")</f>
        <v>SC LOMAS DE SANTA FE</v>
      </c>
      <c r="G612" s="1">
        <v>190</v>
      </c>
      <c r="H612" s="2">
        <v>753</v>
      </c>
      <c r="I612" s="3" t="s">
        <v>7</v>
      </c>
      <c r="J612" s="4">
        <v>6</v>
      </c>
      <c r="K612" s="8">
        <f>IFERROR(VLOOKUP(I612, data!E:F, 2, FALSE), "Precio Unidad")</f>
        <v>113</v>
      </c>
      <c r="L612" s="9">
        <f t="shared" si="10"/>
        <v>678</v>
      </c>
    </row>
    <row r="613" spans="1:12" ht="15" customHeight="1" x14ac:dyDescent="0.2">
      <c r="A613" s="14">
        <v>46190</v>
      </c>
      <c r="F613" s="7" t="str">
        <f>IFERROR(VLOOKUP(G613, data!A:B, 2, FALSE), "Tienda")</f>
        <v>SC LOMAS DE SANTA FE</v>
      </c>
      <c r="G613" s="1">
        <v>190</v>
      </c>
      <c r="H613" s="2">
        <v>753</v>
      </c>
      <c r="I613" s="3" t="s">
        <v>10</v>
      </c>
      <c r="J613" s="4">
        <v>8</v>
      </c>
      <c r="K613" s="8">
        <f>IFERROR(VLOOKUP(I613, data!E:F, 2, FALSE), "Precio Unidad")</f>
        <v>151</v>
      </c>
      <c r="L613" s="9">
        <f t="shared" si="10"/>
        <v>1208</v>
      </c>
    </row>
    <row r="614" spans="1:12" ht="15" customHeight="1" x14ac:dyDescent="0.2">
      <c r="A614" s="14">
        <v>46190</v>
      </c>
      <c r="F614" s="7" t="str">
        <f>IFERROR(VLOOKUP(G614, data!A:B, 2, FALSE), "Tienda")</f>
        <v>SC LOMAS DE SANTA FE</v>
      </c>
      <c r="G614" s="1">
        <v>190</v>
      </c>
      <c r="H614" s="2">
        <v>753</v>
      </c>
      <c r="I614" s="3" t="s">
        <v>13</v>
      </c>
      <c r="J614" s="4">
        <v>8</v>
      </c>
      <c r="K614" s="8">
        <f>IFERROR(VLOOKUP(I614, data!E:F, 2, FALSE), "Precio Unidad")</f>
        <v>63</v>
      </c>
      <c r="L614" s="9">
        <f t="shared" si="10"/>
        <v>504</v>
      </c>
    </row>
    <row r="615" spans="1:12" ht="15" customHeight="1" x14ac:dyDescent="0.2">
      <c r="A615" s="14">
        <v>46190</v>
      </c>
      <c r="F615" s="7" t="str">
        <f>IFERROR(VLOOKUP(G615, data!A:B, 2, FALSE), "Tienda")</f>
        <v>SC PACIFICO</v>
      </c>
      <c r="G615" s="1">
        <v>1616</v>
      </c>
      <c r="H615" s="2">
        <v>754</v>
      </c>
      <c r="I615" s="3" t="s">
        <v>6</v>
      </c>
      <c r="J615" s="4">
        <v>4</v>
      </c>
      <c r="K615" s="8">
        <f>IFERROR(VLOOKUP(I615, data!E:F, 2, FALSE), "Precio Unidad")</f>
        <v>167</v>
      </c>
      <c r="L615" s="9">
        <f t="shared" si="10"/>
        <v>668</v>
      </c>
    </row>
    <row r="616" spans="1:12" ht="15" customHeight="1" x14ac:dyDescent="0.2">
      <c r="A616" s="14">
        <v>46190</v>
      </c>
      <c r="F616" s="7" t="str">
        <f>IFERROR(VLOOKUP(G616, data!A:B, 2, FALSE), "Tienda")</f>
        <v>SC PACIFICO</v>
      </c>
      <c r="G616" s="1">
        <v>1616</v>
      </c>
      <c r="H616" s="2">
        <v>754</v>
      </c>
      <c r="I616" s="3" t="s">
        <v>7</v>
      </c>
      <c r="J616" s="4">
        <v>6</v>
      </c>
      <c r="K616" s="8">
        <f>IFERROR(VLOOKUP(I616, data!E:F, 2, FALSE), "Precio Unidad")</f>
        <v>113</v>
      </c>
      <c r="L616" s="9">
        <f t="shared" si="10"/>
        <v>678</v>
      </c>
    </row>
    <row r="617" spans="1:12" ht="15" customHeight="1" x14ac:dyDescent="0.2">
      <c r="A617" s="14">
        <v>46190</v>
      </c>
      <c r="F617" s="7" t="str">
        <f>IFERROR(VLOOKUP(G617, data!A:B, 2, FALSE), "Tienda")</f>
        <v>SC PACIFICO</v>
      </c>
      <c r="G617" s="1">
        <v>1616</v>
      </c>
      <c r="H617" s="2">
        <v>754</v>
      </c>
      <c r="I617" s="3" t="s">
        <v>12</v>
      </c>
      <c r="J617" s="4">
        <v>10</v>
      </c>
      <c r="K617" s="8">
        <f>IFERROR(VLOOKUP(I617, data!E:F, 2, FALSE), "Precio Unidad")</f>
        <v>95</v>
      </c>
      <c r="L617" s="9">
        <f t="shared" si="10"/>
        <v>950</v>
      </c>
    </row>
    <row r="618" spans="1:12" ht="15" customHeight="1" x14ac:dyDescent="0.2">
      <c r="A618" s="14">
        <v>46190</v>
      </c>
      <c r="F618" s="7" t="str">
        <f>IFERROR(VLOOKUP(G618, data!A:B, 2, FALSE), "Tienda")</f>
        <v>SC PACIFICO</v>
      </c>
      <c r="G618" s="1">
        <v>1616</v>
      </c>
      <c r="H618" s="2">
        <v>754</v>
      </c>
      <c r="I618" s="3" t="s">
        <v>13</v>
      </c>
      <c r="J618" s="4">
        <v>8</v>
      </c>
      <c r="K618" s="8">
        <f>IFERROR(VLOOKUP(I618, data!E:F, 2, FALSE), "Precio Unidad")</f>
        <v>63</v>
      </c>
      <c r="L618" s="9">
        <f t="shared" si="10"/>
        <v>504</v>
      </c>
    </row>
    <row r="619" spans="1:12" ht="15" customHeight="1" x14ac:dyDescent="0.2">
      <c r="A619" s="14">
        <v>46190</v>
      </c>
      <c r="F619" s="7" t="str">
        <f>IFERROR(VLOOKUP(G619, data!A:B, 2, FALSE), "Tienda")</f>
        <v>SC PLAYAS DE TIJUANA</v>
      </c>
      <c r="G619" s="1">
        <v>1613</v>
      </c>
      <c r="H619" s="2">
        <v>755</v>
      </c>
      <c r="I619" s="3" t="s">
        <v>6</v>
      </c>
      <c r="J619" s="4">
        <v>8</v>
      </c>
      <c r="K619" s="8">
        <f>IFERROR(VLOOKUP(I619, data!E:F, 2, FALSE), "Precio Unidad")</f>
        <v>167</v>
      </c>
      <c r="L619" s="9">
        <f t="shared" si="10"/>
        <v>1336</v>
      </c>
    </row>
    <row r="620" spans="1:12" ht="15" customHeight="1" x14ac:dyDescent="0.2">
      <c r="A620" s="14">
        <v>46190</v>
      </c>
      <c r="F620" s="7" t="str">
        <f>IFERROR(VLOOKUP(G620, data!A:B, 2, FALSE), "Tienda")</f>
        <v>SC PLAYAS DE TIJUANA</v>
      </c>
      <c r="G620" s="1">
        <v>1613</v>
      </c>
      <c r="H620" s="2">
        <v>755</v>
      </c>
      <c r="I620" s="3" t="s">
        <v>10</v>
      </c>
      <c r="J620" s="4">
        <v>8</v>
      </c>
      <c r="K620" s="8">
        <f>IFERROR(VLOOKUP(I620, data!E:F, 2, FALSE), "Precio Unidad")</f>
        <v>151</v>
      </c>
      <c r="L620" s="9">
        <f t="shared" si="10"/>
        <v>1208</v>
      </c>
    </row>
    <row r="621" spans="1:12" ht="15" customHeight="1" x14ac:dyDescent="0.2">
      <c r="A621" s="14">
        <v>46190</v>
      </c>
      <c r="F621" s="7" t="str">
        <f>IFERROR(VLOOKUP(G621, data!A:B, 2, FALSE), "Tienda")</f>
        <v>SC PLAYAS DE TIJUANA</v>
      </c>
      <c r="G621" s="1">
        <v>1613</v>
      </c>
      <c r="H621" s="2">
        <v>755</v>
      </c>
      <c r="I621" s="3" t="s">
        <v>11</v>
      </c>
      <c r="J621" s="4">
        <v>8</v>
      </c>
      <c r="K621" s="8">
        <f>IFERROR(VLOOKUP(I621, data!E:F, 2, FALSE), "Precio Unidad")</f>
        <v>177</v>
      </c>
      <c r="L621" s="9">
        <f t="shared" si="10"/>
        <v>1416</v>
      </c>
    </row>
    <row r="622" spans="1:12" ht="15" customHeight="1" x14ac:dyDescent="0.2">
      <c r="A622" s="14">
        <v>46190</v>
      </c>
      <c r="F622" s="7" t="str">
        <f>IFERROR(VLOOKUP(G622, data!A:B, 2, FALSE), "Tienda")</f>
        <v>SC PLAYAS DE TIJUANA</v>
      </c>
      <c r="G622" s="1">
        <v>1613</v>
      </c>
      <c r="H622" s="2">
        <v>755</v>
      </c>
      <c r="I622" s="3" t="s">
        <v>13</v>
      </c>
      <c r="J622" s="4">
        <v>8</v>
      </c>
      <c r="K622" s="8">
        <f>IFERROR(VLOOKUP(I622, data!E:F, 2, FALSE), "Precio Unidad")</f>
        <v>63</v>
      </c>
      <c r="L622" s="9">
        <f t="shared" si="10"/>
        <v>504</v>
      </c>
    </row>
    <row r="623" spans="1:12" ht="15" customHeight="1" x14ac:dyDescent="0.2">
      <c r="A623" s="14">
        <v>46191</v>
      </c>
      <c r="F623" s="7" t="str">
        <f>IFERROR(VLOOKUP(G623, data!A:B, 2, FALSE), "Tienda")</f>
        <v>SC PLAZA SAN PEDRO</v>
      </c>
      <c r="G623" s="1">
        <v>1140</v>
      </c>
      <c r="H623" s="2">
        <v>756</v>
      </c>
      <c r="I623" s="3" t="s">
        <v>6</v>
      </c>
      <c r="J623" s="4">
        <v>4</v>
      </c>
      <c r="K623" s="8">
        <f>IFERROR(VLOOKUP(I623, data!E:F, 2, FALSE), "Precio Unidad")</f>
        <v>167</v>
      </c>
      <c r="L623" s="9">
        <f t="shared" si="10"/>
        <v>668</v>
      </c>
    </row>
    <row r="624" spans="1:12" ht="15" customHeight="1" x14ac:dyDescent="0.2">
      <c r="A624" s="14">
        <v>46191</v>
      </c>
      <c r="F624" s="7" t="str">
        <f>IFERROR(VLOOKUP(G624, data!A:B, 2, FALSE), "Tienda")</f>
        <v>SC PLAZA SAN PEDRO</v>
      </c>
      <c r="G624" s="1">
        <v>1140</v>
      </c>
      <c r="H624" s="2">
        <v>756</v>
      </c>
      <c r="I624" s="3" t="s">
        <v>7</v>
      </c>
      <c r="J624" s="4">
        <v>6</v>
      </c>
      <c r="K624" s="8">
        <f>IFERROR(VLOOKUP(I624, data!E:F, 2, FALSE), "Precio Unidad")</f>
        <v>113</v>
      </c>
      <c r="L624" s="9">
        <f t="shared" si="10"/>
        <v>678</v>
      </c>
    </row>
    <row r="625" spans="1:12" ht="15" customHeight="1" x14ac:dyDescent="0.2">
      <c r="A625" s="14">
        <v>46191</v>
      </c>
      <c r="F625" s="7" t="str">
        <f>IFERROR(VLOOKUP(G625, data!A:B, 2, FALSE), "Tienda")</f>
        <v>SC PLAZA SAN PEDRO</v>
      </c>
      <c r="G625" s="1">
        <v>1140</v>
      </c>
      <c r="H625" s="2">
        <v>756</v>
      </c>
      <c r="I625" s="3" t="s">
        <v>10</v>
      </c>
      <c r="J625" s="4">
        <v>16</v>
      </c>
      <c r="K625" s="8">
        <f>IFERROR(VLOOKUP(I625, data!E:F, 2, FALSE), "Precio Unidad")</f>
        <v>151</v>
      </c>
      <c r="L625" s="9">
        <f t="shared" si="10"/>
        <v>2416</v>
      </c>
    </row>
    <row r="626" spans="1:12" ht="15" customHeight="1" x14ac:dyDescent="0.2">
      <c r="A626" s="14">
        <v>46191</v>
      </c>
      <c r="F626" s="7" t="str">
        <f>IFERROR(VLOOKUP(G626, data!A:B, 2, FALSE), "Tienda")</f>
        <v>SC PLAZA SAN PEDRO</v>
      </c>
      <c r="G626" s="1">
        <v>1140</v>
      </c>
      <c r="H626" s="2">
        <v>756</v>
      </c>
      <c r="I626" s="3" t="s">
        <v>11</v>
      </c>
      <c r="J626" s="4">
        <v>12</v>
      </c>
      <c r="K626" s="8">
        <f>IFERROR(VLOOKUP(I626, data!E:F, 2, FALSE), "Precio Unidad")</f>
        <v>177</v>
      </c>
      <c r="L626" s="9">
        <f t="shared" si="10"/>
        <v>2124</v>
      </c>
    </row>
    <row r="627" spans="1:12" ht="15" customHeight="1" x14ac:dyDescent="0.2">
      <c r="A627" s="14">
        <v>46191</v>
      </c>
      <c r="F627" s="7" t="str">
        <f>IFERROR(VLOOKUP(G627, data!A:B, 2, FALSE), "Tienda")</f>
        <v>SC PLAZA SAN PEDRO</v>
      </c>
      <c r="G627" s="1">
        <v>1140</v>
      </c>
      <c r="H627" s="2">
        <v>756</v>
      </c>
      <c r="I627" s="3" t="s">
        <v>12</v>
      </c>
      <c r="J627" s="4">
        <v>20</v>
      </c>
      <c r="K627" s="8">
        <f>IFERROR(VLOOKUP(I627, data!E:F, 2, FALSE), "Precio Unidad")</f>
        <v>95</v>
      </c>
      <c r="L627" s="9">
        <f t="shared" si="10"/>
        <v>1900</v>
      </c>
    </row>
    <row r="628" spans="1:12" ht="15" customHeight="1" x14ac:dyDescent="0.2">
      <c r="A628" s="14">
        <v>46191</v>
      </c>
      <c r="F628" s="7" t="str">
        <f>IFERROR(VLOOKUP(G628, data!A:B, 2, FALSE), "Tienda")</f>
        <v>SC PLAZA SAN PEDRO</v>
      </c>
      <c r="G628" s="1">
        <v>1140</v>
      </c>
      <c r="H628" s="2">
        <v>756</v>
      </c>
      <c r="I628" s="3" t="s">
        <v>13</v>
      </c>
      <c r="J628" s="4">
        <v>8</v>
      </c>
      <c r="K628" s="8">
        <f>IFERROR(VLOOKUP(I628, data!E:F, 2, FALSE), "Precio Unidad")</f>
        <v>63</v>
      </c>
      <c r="L628" s="9">
        <f t="shared" si="10"/>
        <v>504</v>
      </c>
    </row>
    <row r="629" spans="1:12" ht="15" customHeight="1" x14ac:dyDescent="0.2">
      <c r="A629" s="14">
        <v>46191</v>
      </c>
      <c r="F629" s="7" t="str">
        <f>IFERROR(VLOOKUP(G629, data!A:B, 2, FALSE), "Tienda")</f>
        <v>SC MEXICALI NOVENA</v>
      </c>
      <c r="G629" s="1">
        <v>1617</v>
      </c>
      <c r="H629" s="2">
        <v>757</v>
      </c>
      <c r="I629" s="3" t="s">
        <v>10</v>
      </c>
      <c r="J629" s="4">
        <v>32</v>
      </c>
      <c r="K629" s="8">
        <f>IFERROR(VLOOKUP(I629, data!E:F, 2, FALSE), "Precio Unidad")</f>
        <v>151</v>
      </c>
      <c r="L629" s="9">
        <f t="shared" si="10"/>
        <v>4832</v>
      </c>
    </row>
    <row r="630" spans="1:12" ht="15" customHeight="1" x14ac:dyDescent="0.2">
      <c r="A630" s="14">
        <v>46191</v>
      </c>
      <c r="F630" s="7" t="str">
        <f>IFERROR(VLOOKUP(G630, data!A:B, 2, FALSE), "Tienda")</f>
        <v>SC MEXICALI NOVENA</v>
      </c>
      <c r="G630" s="1">
        <v>1617</v>
      </c>
      <c r="H630" s="2">
        <v>757</v>
      </c>
      <c r="I630" s="3" t="s">
        <v>11</v>
      </c>
      <c r="J630" s="55">
        <v>24</v>
      </c>
      <c r="K630" s="8">
        <f>IFERROR(VLOOKUP(I630, data!E:F, 2, FALSE), "Precio Unidad")</f>
        <v>177</v>
      </c>
      <c r="L630" s="9">
        <f t="shared" si="10"/>
        <v>4248</v>
      </c>
    </row>
    <row r="631" spans="1:12" ht="15" customHeight="1" x14ac:dyDescent="0.2">
      <c r="A631" s="14">
        <v>46191</v>
      </c>
      <c r="F631" s="7" t="str">
        <f>IFERROR(VLOOKUP(G631, data!A:B, 2, FALSE), "Tienda")</f>
        <v>SC MEXICALI NOVENA</v>
      </c>
      <c r="G631" s="1">
        <v>1617</v>
      </c>
      <c r="H631" s="2">
        <v>757</v>
      </c>
      <c r="I631" s="3" t="s">
        <v>12</v>
      </c>
      <c r="J631" s="4">
        <v>20</v>
      </c>
      <c r="K631" s="8">
        <f>IFERROR(VLOOKUP(I631, data!E:F, 2, FALSE), "Precio Unidad")</f>
        <v>95</v>
      </c>
      <c r="L631" s="9">
        <f t="shared" si="10"/>
        <v>1900</v>
      </c>
    </row>
    <row r="632" spans="1:12" ht="15" customHeight="1" x14ac:dyDescent="0.2">
      <c r="A632" s="14">
        <v>46191</v>
      </c>
      <c r="F632" s="7" t="str">
        <f>IFERROR(VLOOKUP(G632, data!A:B, 2, FALSE), "Tienda")</f>
        <v>SC MEXICALI NOVENA</v>
      </c>
      <c r="G632" s="1">
        <v>1617</v>
      </c>
      <c r="H632" s="2">
        <v>757</v>
      </c>
      <c r="I632" s="3" t="s">
        <v>13</v>
      </c>
      <c r="J632" s="4">
        <v>16</v>
      </c>
      <c r="K632" s="8">
        <f>IFERROR(VLOOKUP(I632, data!E:F, 2, FALSE), "Precio Unidad")</f>
        <v>63</v>
      </c>
      <c r="L632" s="9">
        <f t="shared" si="10"/>
        <v>1008</v>
      </c>
    </row>
    <row r="633" spans="1:12" ht="15" customHeight="1" x14ac:dyDescent="0.2">
      <c r="A633" s="14">
        <v>46191</v>
      </c>
      <c r="F633" s="7" t="str">
        <f>IFERROR(VLOOKUP(G633, data!A:B, 2, FALSE), "Tienda")</f>
        <v>SC MEXICALI</v>
      </c>
      <c r="G633" s="1">
        <v>2304</v>
      </c>
      <c r="H633" s="2">
        <v>758</v>
      </c>
      <c r="I633" s="3" t="s">
        <v>6</v>
      </c>
      <c r="J633" s="4">
        <v>8</v>
      </c>
      <c r="K633" s="8">
        <f>IFERROR(VLOOKUP(I633, data!E:F, 2, FALSE), "Precio Unidad")</f>
        <v>167</v>
      </c>
      <c r="L633" s="9">
        <f t="shared" si="10"/>
        <v>1336</v>
      </c>
    </row>
    <row r="634" spans="1:12" ht="15" customHeight="1" x14ac:dyDescent="0.2">
      <c r="A634" s="14">
        <v>46191</v>
      </c>
      <c r="F634" s="7" t="str">
        <f>IFERROR(VLOOKUP(G634, data!A:B, 2, FALSE), "Tienda")</f>
        <v>SC MEXICALI</v>
      </c>
      <c r="G634" s="1">
        <v>2304</v>
      </c>
      <c r="H634" s="2">
        <v>758</v>
      </c>
      <c r="I634" s="3" t="s">
        <v>11</v>
      </c>
      <c r="J634" s="4">
        <v>18</v>
      </c>
      <c r="K634" s="8">
        <f>IFERROR(VLOOKUP(I634, data!E:F, 2, FALSE), "Precio Unidad")</f>
        <v>177</v>
      </c>
      <c r="L634" s="9">
        <f t="shared" si="10"/>
        <v>3186</v>
      </c>
    </row>
    <row r="635" spans="1:12" ht="15" customHeight="1" x14ac:dyDescent="0.2">
      <c r="A635" s="14">
        <v>46191</v>
      </c>
      <c r="F635" s="7" t="str">
        <f>IFERROR(VLOOKUP(G635, data!A:B, 2, FALSE), "Tienda")</f>
        <v>SC MEXICALI</v>
      </c>
      <c r="G635" s="1">
        <v>2304</v>
      </c>
      <c r="H635" s="2">
        <v>758</v>
      </c>
      <c r="I635" s="3" t="s">
        <v>12</v>
      </c>
      <c r="J635" s="4">
        <v>10</v>
      </c>
      <c r="K635" s="8">
        <f>IFERROR(VLOOKUP(I635, data!E:F, 2, FALSE), "Precio Unidad")</f>
        <v>95</v>
      </c>
      <c r="L635" s="9">
        <f t="shared" si="10"/>
        <v>950</v>
      </c>
    </row>
    <row r="636" spans="1:12" ht="15" customHeight="1" x14ac:dyDescent="0.2">
      <c r="A636" s="14">
        <v>46191</v>
      </c>
      <c r="F636" s="7" t="str">
        <f>IFERROR(VLOOKUP(G636, data!A:B, 2, FALSE), "Tienda")</f>
        <v>SC MEXICALI</v>
      </c>
      <c r="G636" s="1">
        <v>2304</v>
      </c>
      <c r="H636" s="2">
        <v>758</v>
      </c>
      <c r="I636" s="3" t="s">
        <v>13</v>
      </c>
      <c r="J636" s="4">
        <v>7</v>
      </c>
      <c r="K636" s="8">
        <f>IFERROR(VLOOKUP(I636, data!E:F, 2, FALSE), "Precio Unidad")</f>
        <v>63</v>
      </c>
      <c r="L636" s="9">
        <f t="shared" si="10"/>
        <v>441</v>
      </c>
    </row>
    <row r="637" spans="1:12" ht="15" customHeight="1" x14ac:dyDescent="0.2">
      <c r="A637" s="14">
        <v>46191</v>
      </c>
      <c r="F637" s="7" t="str">
        <f>IFERROR(VLOOKUP(G637, data!A:B, 2, FALSE), "Tienda")</f>
        <v>SC GALERIAS DEL VALLE</v>
      </c>
      <c r="G637" s="1">
        <v>4026</v>
      </c>
      <c r="H637" s="2">
        <v>759</v>
      </c>
      <c r="I637" s="3" t="s">
        <v>6</v>
      </c>
      <c r="J637" s="4">
        <v>4</v>
      </c>
      <c r="K637" s="8">
        <f>IFERROR(VLOOKUP(I637, data!E:F, 2, FALSE), "Precio Unidad")</f>
        <v>167</v>
      </c>
      <c r="L637" s="9">
        <f t="shared" si="10"/>
        <v>668</v>
      </c>
    </row>
    <row r="638" spans="1:12" ht="15" customHeight="1" x14ac:dyDescent="0.2">
      <c r="A638" s="14">
        <v>46191</v>
      </c>
      <c r="F638" s="7" t="str">
        <f>IFERROR(VLOOKUP(G638, data!A:B, 2, FALSE), "Tienda")</f>
        <v>SC GALERIAS DEL VALLE</v>
      </c>
      <c r="G638" s="1">
        <v>4026</v>
      </c>
      <c r="H638" s="2">
        <v>759</v>
      </c>
      <c r="I638" s="3" t="s">
        <v>7</v>
      </c>
      <c r="J638" s="4">
        <v>6</v>
      </c>
      <c r="K638" s="8">
        <f>IFERROR(VLOOKUP(I638, data!E:F, 2, FALSE), "Precio Unidad")</f>
        <v>113</v>
      </c>
      <c r="L638" s="9">
        <f t="shared" si="10"/>
        <v>678</v>
      </c>
    </row>
    <row r="639" spans="1:12" ht="15" customHeight="1" x14ac:dyDescent="0.2">
      <c r="A639" s="14">
        <v>46191</v>
      </c>
      <c r="F639" s="7" t="str">
        <f>IFERROR(VLOOKUP(G639, data!A:B, 2, FALSE), "Tienda")</f>
        <v>SC GALERIAS DEL VALLE</v>
      </c>
      <c r="G639" s="1">
        <v>4026</v>
      </c>
      <c r="H639" s="2">
        <v>759</v>
      </c>
      <c r="I639" s="3" t="s">
        <v>10</v>
      </c>
      <c r="J639" s="4">
        <v>16</v>
      </c>
      <c r="K639" s="8">
        <f>IFERROR(VLOOKUP(I639, data!E:F, 2, FALSE), "Precio Unidad")</f>
        <v>151</v>
      </c>
      <c r="L639" s="9">
        <f t="shared" si="10"/>
        <v>2416</v>
      </c>
    </row>
    <row r="640" spans="1:12" ht="15" customHeight="1" x14ac:dyDescent="0.2">
      <c r="A640" s="14">
        <v>46191</v>
      </c>
      <c r="F640" s="7" t="str">
        <f>IFERROR(VLOOKUP(G640, data!A:B, 2, FALSE), "Tienda")</f>
        <v>SC GALERIAS DEL VALLE</v>
      </c>
      <c r="G640" s="1">
        <v>4026</v>
      </c>
      <c r="H640" s="2">
        <v>759</v>
      </c>
      <c r="I640" s="3" t="s">
        <v>11</v>
      </c>
      <c r="J640" s="4">
        <v>24</v>
      </c>
      <c r="K640" s="8">
        <f>IFERROR(VLOOKUP(I640, data!E:F, 2, FALSE), "Precio Unidad")</f>
        <v>177</v>
      </c>
      <c r="L640" s="9">
        <f t="shared" si="10"/>
        <v>4248</v>
      </c>
    </row>
    <row r="641" spans="1:12" ht="15" customHeight="1" x14ac:dyDescent="0.2">
      <c r="A641" s="14">
        <v>46191</v>
      </c>
      <c r="F641" s="7" t="str">
        <f>IFERROR(VLOOKUP(G641, data!A:B, 2, FALSE), "Tienda")</f>
        <v>SC GALERIAS DEL VALLE</v>
      </c>
      <c r="G641" s="1">
        <v>4026</v>
      </c>
      <c r="H641" s="2">
        <v>759</v>
      </c>
      <c r="I641" s="3" t="s">
        <v>12</v>
      </c>
      <c r="J641" s="4">
        <v>20</v>
      </c>
      <c r="K641" s="8">
        <f>IFERROR(VLOOKUP(I641, data!E:F, 2, FALSE), "Precio Unidad")</f>
        <v>95</v>
      </c>
      <c r="L641" s="9">
        <f t="shared" si="10"/>
        <v>1900</v>
      </c>
    </row>
    <row r="642" spans="1:12" ht="15" customHeight="1" x14ac:dyDescent="0.2">
      <c r="A642" s="14">
        <v>46191</v>
      </c>
      <c r="F642" s="7" t="str">
        <f>IFERROR(VLOOKUP(G642, data!A:B, 2, FALSE), "Tienda")</f>
        <v>SC GALERIAS DEL VALLE</v>
      </c>
      <c r="G642" s="1">
        <v>4026</v>
      </c>
      <c r="H642" s="2">
        <v>759</v>
      </c>
      <c r="I642" s="3" t="s">
        <v>13</v>
      </c>
      <c r="J642" s="4">
        <v>24</v>
      </c>
      <c r="K642" s="8">
        <f>IFERROR(VLOOKUP(I642, data!E:F, 2, FALSE), "Precio Unidad")</f>
        <v>63</v>
      </c>
      <c r="L642" s="9">
        <f t="shared" si="10"/>
        <v>1512</v>
      </c>
    </row>
    <row r="643" spans="1:12" ht="15" customHeight="1" x14ac:dyDescent="0.2">
      <c r="A643" s="14">
        <v>46191</v>
      </c>
      <c r="F643" s="7" t="str">
        <f>IFERROR(VLOOKUP(G643, data!A:B, 2, FALSE), "Tienda")</f>
        <v>SC NUEVO MEXICALI</v>
      </c>
      <c r="G643" s="1">
        <v>5041</v>
      </c>
      <c r="H643" s="2">
        <v>760</v>
      </c>
      <c r="I643" s="3" t="s">
        <v>6</v>
      </c>
      <c r="J643" s="4">
        <v>16</v>
      </c>
      <c r="K643" s="8">
        <f>IFERROR(VLOOKUP(I643, data!E:F, 2, FALSE), "Precio Unidad")</f>
        <v>167</v>
      </c>
      <c r="L643" s="9">
        <f t="shared" si="10"/>
        <v>2672</v>
      </c>
    </row>
    <row r="644" spans="1:12" ht="15" customHeight="1" x14ac:dyDescent="0.2">
      <c r="A644" s="14">
        <v>46191</v>
      </c>
      <c r="F644" s="7" t="str">
        <f>IFERROR(VLOOKUP(G644, data!A:B, 2, FALSE), "Tienda")</f>
        <v>SC NUEVO MEXICALI</v>
      </c>
      <c r="G644" s="1">
        <v>5041</v>
      </c>
      <c r="H644" s="2">
        <v>760</v>
      </c>
      <c r="I644" s="3" t="s">
        <v>10</v>
      </c>
      <c r="J644" s="4">
        <v>32</v>
      </c>
      <c r="K644" s="8">
        <f>IFERROR(VLOOKUP(I644, data!E:F, 2, FALSE), "Precio Unidad")</f>
        <v>151</v>
      </c>
      <c r="L644" s="9">
        <f t="shared" si="10"/>
        <v>4832</v>
      </c>
    </row>
    <row r="645" spans="1:12" ht="15" customHeight="1" x14ac:dyDescent="0.2">
      <c r="A645" s="14">
        <v>46191</v>
      </c>
      <c r="F645" s="7" t="str">
        <f>IFERROR(VLOOKUP(G645, data!A:B, 2, FALSE), "Tienda")</f>
        <v>SC NUEVO MEXICALI</v>
      </c>
      <c r="G645" s="1">
        <v>5041</v>
      </c>
      <c r="H645" s="2">
        <v>760</v>
      </c>
      <c r="I645" s="3" t="s">
        <v>11</v>
      </c>
      <c r="J645" s="4">
        <v>18</v>
      </c>
      <c r="K645" s="8">
        <f>IFERROR(VLOOKUP(I645, data!E:F, 2, FALSE), "Precio Unidad")</f>
        <v>177</v>
      </c>
      <c r="L645" s="9">
        <f t="shared" si="10"/>
        <v>3186</v>
      </c>
    </row>
    <row r="646" spans="1:12" ht="15" customHeight="1" x14ac:dyDescent="0.2">
      <c r="A646" s="14">
        <v>46191</v>
      </c>
      <c r="F646" s="7" t="str">
        <f>IFERROR(VLOOKUP(G646, data!A:B, 2, FALSE), "Tienda")</f>
        <v>SC NUEVO MEXICALI</v>
      </c>
      <c r="G646" s="1">
        <v>5041</v>
      </c>
      <c r="H646" s="2">
        <v>760</v>
      </c>
      <c r="I646" s="3" t="s">
        <v>12</v>
      </c>
      <c r="J646" s="4">
        <v>30</v>
      </c>
      <c r="K646" s="8">
        <f>IFERROR(VLOOKUP(I646, data!E:F, 2, FALSE), "Precio Unidad")</f>
        <v>95</v>
      </c>
      <c r="L646" s="9">
        <f t="shared" ref="L646:L708" si="11">K646*J646</f>
        <v>2850</v>
      </c>
    </row>
    <row r="647" spans="1:12" ht="15" customHeight="1" x14ac:dyDescent="0.2">
      <c r="A647" s="14">
        <v>46191</v>
      </c>
      <c r="F647" s="7" t="str">
        <f>IFERROR(VLOOKUP(G647, data!A:B, 2, FALSE), "Tienda")</f>
        <v>SC NUEVO MEXICALI</v>
      </c>
      <c r="G647" s="1">
        <v>5041</v>
      </c>
      <c r="H647" s="2">
        <v>760</v>
      </c>
      <c r="I647" s="3" t="s">
        <v>13</v>
      </c>
      <c r="J647" s="4">
        <v>24</v>
      </c>
      <c r="K647" s="8">
        <f>IFERROR(VLOOKUP(I647, data!E:F, 2, FALSE), "Precio Unidad")</f>
        <v>63</v>
      </c>
      <c r="L647" s="9">
        <f t="shared" si="11"/>
        <v>1512</v>
      </c>
    </row>
    <row r="648" spans="1:12" ht="15" customHeight="1" x14ac:dyDescent="0.2">
      <c r="A648" s="54">
        <v>46193</v>
      </c>
      <c r="F648" s="7" t="str">
        <f>IFERROR(VLOOKUP(G648, data!A:B, 2, FALSE), "Tienda")</f>
        <v>SC NUEVO MEXICALI</v>
      </c>
      <c r="G648" s="1">
        <v>5041</v>
      </c>
      <c r="H648" s="2">
        <v>761</v>
      </c>
      <c r="I648" s="3" t="s">
        <v>6</v>
      </c>
      <c r="J648" s="4">
        <v>2</v>
      </c>
      <c r="K648" s="8">
        <f>IFERROR(VLOOKUP(I648, data!E:F, 2, FALSE), "Precio Unidad")</f>
        <v>167</v>
      </c>
      <c r="L648" s="9">
        <f t="shared" si="11"/>
        <v>334</v>
      </c>
    </row>
    <row r="649" spans="1:12" ht="15" customHeight="1" x14ac:dyDescent="0.2">
      <c r="A649" s="54">
        <v>46193</v>
      </c>
      <c r="F649" s="7" t="str">
        <f>IFERROR(VLOOKUP(G649, data!A:B, 2, FALSE), "Tienda")</f>
        <v>SC NUEVO MEXICALI</v>
      </c>
      <c r="G649" s="1">
        <v>5041</v>
      </c>
      <c r="H649" s="2">
        <v>761</v>
      </c>
      <c r="I649" s="3" t="s">
        <v>7</v>
      </c>
      <c r="J649" s="4">
        <v>6</v>
      </c>
      <c r="K649" s="8">
        <f>IFERROR(VLOOKUP(I649, data!E:F, 2, FALSE), "Precio Unidad")</f>
        <v>113</v>
      </c>
      <c r="L649" s="9">
        <f t="shared" si="11"/>
        <v>678</v>
      </c>
    </row>
    <row r="650" spans="1:12" ht="15" customHeight="1" x14ac:dyDescent="0.2">
      <c r="A650" s="54">
        <v>46193</v>
      </c>
      <c r="F650" s="7" t="str">
        <f>IFERROR(VLOOKUP(G650, data!A:B, 2, FALSE), "Tienda")</f>
        <v>SC NUEVO MEXICALI</v>
      </c>
      <c r="G650" s="1">
        <v>5041</v>
      </c>
      <c r="H650" s="2">
        <v>761</v>
      </c>
      <c r="I650" s="3" t="s">
        <v>10</v>
      </c>
      <c r="J650" s="4">
        <v>8</v>
      </c>
      <c r="K650" s="8">
        <f>IFERROR(VLOOKUP(I650, data!E:F, 2, FALSE), "Precio Unidad")</f>
        <v>151</v>
      </c>
      <c r="L650" s="9">
        <f t="shared" si="11"/>
        <v>1208</v>
      </c>
    </row>
    <row r="651" spans="1:12" ht="15" customHeight="1" x14ac:dyDescent="0.2">
      <c r="A651" s="54">
        <v>46193</v>
      </c>
      <c r="F651" s="7" t="str">
        <f>IFERROR(VLOOKUP(G651, data!A:B, 2, FALSE), "Tienda")</f>
        <v>SC NUEVO MEXICALI</v>
      </c>
      <c r="G651" s="1">
        <v>5041</v>
      </c>
      <c r="H651" s="2">
        <v>761</v>
      </c>
      <c r="I651" s="3" t="s">
        <v>12</v>
      </c>
      <c r="J651" s="4">
        <v>20</v>
      </c>
      <c r="K651" s="8">
        <f>IFERROR(VLOOKUP(I651, data!E:F, 2, FALSE), "Precio Unidad")</f>
        <v>95</v>
      </c>
      <c r="L651" s="9">
        <f t="shared" si="11"/>
        <v>1900</v>
      </c>
    </row>
    <row r="652" spans="1:12" ht="15" customHeight="1" x14ac:dyDescent="0.2">
      <c r="A652" s="54">
        <v>46193</v>
      </c>
      <c r="F652" s="7" t="str">
        <f>IFERROR(VLOOKUP(G652, data!A:B, 2, FALSE), "Tienda")</f>
        <v>SC NUEVO MEXICALI</v>
      </c>
      <c r="G652" s="1">
        <v>5041</v>
      </c>
      <c r="H652" s="2">
        <v>761</v>
      </c>
      <c r="I652" s="3" t="s">
        <v>13</v>
      </c>
      <c r="J652" s="4">
        <v>16</v>
      </c>
      <c r="K652" s="8">
        <f>IFERROR(VLOOKUP(I652, data!E:F, 2, FALSE), "Precio Unidad")</f>
        <v>63</v>
      </c>
      <c r="L652" s="9">
        <f t="shared" si="11"/>
        <v>1008</v>
      </c>
    </row>
    <row r="653" spans="1:12" ht="15" customHeight="1" x14ac:dyDescent="0.2">
      <c r="A653" s="54">
        <v>46193</v>
      </c>
      <c r="F653" s="7" t="str">
        <f>IFERROR(VLOOKUP(G653, data!A:B, 2, FALSE), "Tienda")</f>
        <v>SC GALERIAS DEL VALLE</v>
      </c>
      <c r="G653" s="1">
        <v>4026</v>
      </c>
      <c r="H653" s="2">
        <v>762</v>
      </c>
      <c r="I653" s="3" t="s">
        <v>6</v>
      </c>
      <c r="J653" s="4">
        <v>4</v>
      </c>
      <c r="K653" s="8">
        <f>IFERROR(VLOOKUP(I653, data!E:F, 2, FALSE), "Precio Unidad")</f>
        <v>167</v>
      </c>
      <c r="L653" s="9">
        <f t="shared" si="11"/>
        <v>668</v>
      </c>
    </row>
    <row r="654" spans="1:12" ht="15" customHeight="1" x14ac:dyDescent="0.2">
      <c r="A654" s="54">
        <v>46193</v>
      </c>
      <c r="F654" s="7" t="str">
        <f>IFERROR(VLOOKUP(G654, data!A:B, 2, FALSE), "Tienda")</f>
        <v>SC GALERIAS DEL VALLE</v>
      </c>
      <c r="G654" s="1">
        <v>4026</v>
      </c>
      <c r="H654" s="2">
        <v>762</v>
      </c>
      <c r="I654" s="3" t="s">
        <v>7</v>
      </c>
      <c r="J654" s="4">
        <v>6</v>
      </c>
      <c r="K654" s="8">
        <f>IFERROR(VLOOKUP(I654, data!E:F, 2, FALSE), "Precio Unidad")</f>
        <v>113</v>
      </c>
      <c r="L654" s="9">
        <f t="shared" si="11"/>
        <v>678</v>
      </c>
    </row>
    <row r="655" spans="1:12" ht="15" customHeight="1" x14ac:dyDescent="0.2">
      <c r="A655" s="54">
        <v>46193</v>
      </c>
      <c r="F655" s="7" t="str">
        <f>IFERROR(VLOOKUP(G655, data!A:B, 2, FALSE), "Tienda")</f>
        <v>SC GALERIAS DEL VALLE</v>
      </c>
      <c r="G655" s="1">
        <v>4026</v>
      </c>
      <c r="H655" s="2">
        <v>762</v>
      </c>
      <c r="I655" s="3" t="s">
        <v>10</v>
      </c>
      <c r="J655" s="4">
        <v>8</v>
      </c>
      <c r="K655" s="8">
        <f>IFERROR(VLOOKUP(I655, data!E:F, 2, FALSE), "Precio Unidad")</f>
        <v>151</v>
      </c>
      <c r="L655" s="9">
        <f t="shared" si="11"/>
        <v>1208</v>
      </c>
    </row>
    <row r="656" spans="1:12" ht="15" customHeight="1" x14ac:dyDescent="0.2">
      <c r="A656" s="54">
        <v>46193</v>
      </c>
      <c r="F656" s="7" t="str">
        <f>IFERROR(VLOOKUP(G656, data!A:B, 2, FALSE), "Tienda")</f>
        <v>SC GALERIAS DEL VALLE</v>
      </c>
      <c r="G656" s="1">
        <v>4026</v>
      </c>
      <c r="H656" s="2">
        <v>762</v>
      </c>
      <c r="I656" s="3" t="s">
        <v>12</v>
      </c>
      <c r="J656" s="4">
        <v>20</v>
      </c>
      <c r="K656" s="8">
        <f>IFERROR(VLOOKUP(I656, data!E:F, 2, FALSE), "Precio Unidad")</f>
        <v>95</v>
      </c>
      <c r="L656" s="9">
        <f t="shared" si="11"/>
        <v>1900</v>
      </c>
    </row>
    <row r="657" spans="1:12" ht="15" customHeight="1" x14ac:dyDescent="0.2">
      <c r="A657" s="54">
        <v>46193</v>
      </c>
      <c r="F657" s="7" t="str">
        <f>IFERROR(VLOOKUP(G657, data!A:B, 2, FALSE), "Tienda")</f>
        <v>SC GALERIAS DEL VALLE</v>
      </c>
      <c r="G657" s="1">
        <v>4026</v>
      </c>
      <c r="H657" s="2">
        <v>762</v>
      </c>
      <c r="I657" s="3" t="s">
        <v>13</v>
      </c>
      <c r="J657" s="4">
        <v>8</v>
      </c>
      <c r="K657" s="8">
        <f>IFERROR(VLOOKUP(I657, data!E:F, 2, FALSE), "Precio Unidad")</f>
        <v>63</v>
      </c>
      <c r="L657" s="9">
        <f t="shared" si="11"/>
        <v>504</v>
      </c>
    </row>
    <row r="658" spans="1:12" ht="15" customHeight="1" x14ac:dyDescent="0.2">
      <c r="A658" s="54">
        <v>46193</v>
      </c>
      <c r="F658" s="7" t="str">
        <f>IFERROR(VLOOKUP(G658, data!A:B, 2, FALSE), "Tienda")</f>
        <v>SC MEXICALI</v>
      </c>
      <c r="G658" s="1">
        <v>2304</v>
      </c>
      <c r="H658" s="2">
        <v>763</v>
      </c>
      <c r="I658" s="3" t="s">
        <v>6</v>
      </c>
      <c r="J658" s="4">
        <v>4</v>
      </c>
      <c r="K658" s="8">
        <f>IFERROR(VLOOKUP(I658, data!E:F, 2, FALSE), "Precio Unidad")</f>
        <v>167</v>
      </c>
      <c r="L658" s="9">
        <f t="shared" si="11"/>
        <v>668</v>
      </c>
    </row>
    <row r="659" spans="1:12" ht="15" customHeight="1" x14ac:dyDescent="0.2">
      <c r="A659" s="54">
        <v>46193</v>
      </c>
      <c r="F659" s="7" t="str">
        <f>IFERROR(VLOOKUP(G659, data!A:B, 2, FALSE), "Tienda")</f>
        <v>SC MEXICALI</v>
      </c>
      <c r="G659" s="1">
        <v>2304</v>
      </c>
      <c r="H659" s="2">
        <v>763</v>
      </c>
      <c r="I659" s="3" t="s">
        <v>7</v>
      </c>
      <c r="J659" s="4">
        <v>6</v>
      </c>
      <c r="K659" s="8">
        <f>IFERROR(VLOOKUP(I659, data!E:F, 2, FALSE), "Precio Unidad")</f>
        <v>113</v>
      </c>
      <c r="L659" s="9">
        <f t="shared" si="11"/>
        <v>678</v>
      </c>
    </row>
    <row r="660" spans="1:12" ht="15" customHeight="1" x14ac:dyDescent="0.2">
      <c r="A660" s="54">
        <v>46193</v>
      </c>
      <c r="F660" s="7" t="str">
        <f>IFERROR(VLOOKUP(G660, data!A:B, 2, FALSE), "Tienda")</f>
        <v>SC MEXICALI</v>
      </c>
      <c r="G660" s="1">
        <v>2304</v>
      </c>
      <c r="H660" s="2">
        <v>763</v>
      </c>
      <c r="I660" s="3" t="s">
        <v>10</v>
      </c>
      <c r="J660" s="4">
        <v>8</v>
      </c>
      <c r="K660" s="8">
        <f>IFERROR(VLOOKUP(I660, data!E:F, 2, FALSE), "Precio Unidad")</f>
        <v>151</v>
      </c>
      <c r="L660" s="9">
        <f t="shared" si="11"/>
        <v>1208</v>
      </c>
    </row>
    <row r="661" spans="1:12" ht="15" customHeight="1" x14ac:dyDescent="0.2">
      <c r="A661" s="54">
        <v>46193</v>
      </c>
      <c r="F661" s="7" t="str">
        <f>IFERROR(VLOOKUP(G661, data!A:B, 2, FALSE), "Tienda")</f>
        <v>SC MEXICALI</v>
      </c>
      <c r="G661" s="1">
        <v>2304</v>
      </c>
      <c r="H661" s="2">
        <v>763</v>
      </c>
      <c r="I661" s="3" t="s">
        <v>11</v>
      </c>
      <c r="J661" s="4">
        <v>6</v>
      </c>
      <c r="K661" s="8">
        <f>IFERROR(VLOOKUP(I661, data!E:F, 2, FALSE), "Precio Unidad")</f>
        <v>177</v>
      </c>
      <c r="L661" s="9">
        <f t="shared" si="11"/>
        <v>1062</v>
      </c>
    </row>
    <row r="662" spans="1:12" ht="15" customHeight="1" x14ac:dyDescent="0.2">
      <c r="A662" s="54">
        <v>46193</v>
      </c>
      <c r="F662" s="7" t="str">
        <f>IFERROR(VLOOKUP(G662, data!A:B, 2, FALSE), "Tienda")</f>
        <v>SC MEXICALI</v>
      </c>
      <c r="G662" s="1">
        <v>2304</v>
      </c>
      <c r="H662" s="2">
        <v>763</v>
      </c>
      <c r="I662" s="3" t="s">
        <v>12</v>
      </c>
      <c r="J662" s="4">
        <v>10</v>
      </c>
      <c r="K662" s="8">
        <f>IFERROR(VLOOKUP(I662, data!E:F, 2, FALSE), "Precio Unidad")</f>
        <v>95</v>
      </c>
      <c r="L662" s="9">
        <f t="shared" si="11"/>
        <v>950</v>
      </c>
    </row>
    <row r="663" spans="1:12" ht="15" customHeight="1" x14ac:dyDescent="0.2">
      <c r="A663" s="54">
        <v>46193</v>
      </c>
      <c r="F663" s="7" t="str">
        <f>IFERROR(VLOOKUP(G663, data!A:B, 2, FALSE), "Tienda")</f>
        <v>SC MEXICALI</v>
      </c>
      <c r="G663" s="1">
        <v>2304</v>
      </c>
      <c r="H663" s="2">
        <v>763</v>
      </c>
      <c r="I663" s="3" t="s">
        <v>13</v>
      </c>
      <c r="J663" s="4">
        <v>15</v>
      </c>
      <c r="K663" s="8">
        <f>IFERROR(VLOOKUP(I663, data!E:F, 2, FALSE), "Precio Unidad")</f>
        <v>63</v>
      </c>
      <c r="L663" s="9">
        <f t="shared" si="11"/>
        <v>945</v>
      </c>
    </row>
    <row r="664" spans="1:12" ht="15" customHeight="1" x14ac:dyDescent="0.2">
      <c r="A664" s="54">
        <v>46193</v>
      </c>
      <c r="F664" s="7" t="str">
        <f>IFERROR(VLOOKUP(G664, data!A:B, 2, FALSE), "Tienda")</f>
        <v>SC MEXICALI NOVENA</v>
      </c>
      <c r="G664" s="1">
        <v>1617</v>
      </c>
      <c r="H664" s="2">
        <v>764</v>
      </c>
      <c r="I664" s="3" t="s">
        <v>6</v>
      </c>
      <c r="J664" s="4">
        <v>4</v>
      </c>
      <c r="K664" s="8">
        <f>IFERROR(VLOOKUP(I664, data!E:F, 2, FALSE), "Precio Unidad")</f>
        <v>167</v>
      </c>
      <c r="L664" s="9">
        <f t="shared" si="11"/>
        <v>668</v>
      </c>
    </row>
    <row r="665" spans="1:12" ht="15" customHeight="1" x14ac:dyDescent="0.2">
      <c r="A665" s="54">
        <v>46193</v>
      </c>
      <c r="F665" s="7" t="str">
        <f>IFERROR(VLOOKUP(G665, data!A:B, 2, FALSE), "Tienda")</f>
        <v>SC MEXICALI NOVENA</v>
      </c>
      <c r="G665" s="1">
        <v>1617</v>
      </c>
      <c r="H665" s="2">
        <v>764</v>
      </c>
      <c r="I665" s="3" t="s">
        <v>7</v>
      </c>
      <c r="J665" s="4">
        <v>6</v>
      </c>
      <c r="K665" s="8">
        <f>IFERROR(VLOOKUP(I665, data!E:F, 2, FALSE), "Precio Unidad")</f>
        <v>113</v>
      </c>
      <c r="L665" s="9">
        <f t="shared" si="11"/>
        <v>678</v>
      </c>
    </row>
    <row r="666" spans="1:12" ht="15" customHeight="1" x14ac:dyDescent="0.2">
      <c r="A666" s="54">
        <v>46193</v>
      </c>
      <c r="F666" s="7" t="str">
        <f>IFERROR(VLOOKUP(G666, data!A:B, 2, FALSE), "Tienda")</f>
        <v>SC MEXICALI NOVENA</v>
      </c>
      <c r="G666" s="1">
        <v>1617</v>
      </c>
      <c r="H666" s="2">
        <v>764</v>
      </c>
      <c r="I666" s="3" t="s">
        <v>10</v>
      </c>
      <c r="J666" s="4">
        <v>8</v>
      </c>
      <c r="K666" s="8">
        <f>IFERROR(VLOOKUP(I666, data!E:F, 2, FALSE), "Precio Unidad")</f>
        <v>151</v>
      </c>
      <c r="L666" s="9">
        <f t="shared" si="11"/>
        <v>1208</v>
      </c>
    </row>
    <row r="667" spans="1:12" ht="15" customHeight="1" x14ac:dyDescent="0.2">
      <c r="A667" s="54">
        <v>46193</v>
      </c>
      <c r="F667" s="7" t="str">
        <f>IFERROR(VLOOKUP(G667, data!A:B, 2, FALSE), "Tienda")</f>
        <v>SC MEXICALI NOVENA</v>
      </c>
      <c r="G667" s="1">
        <v>1617</v>
      </c>
      <c r="H667" s="2">
        <v>764</v>
      </c>
      <c r="I667" s="3" t="s">
        <v>11</v>
      </c>
      <c r="J667" s="4">
        <v>6</v>
      </c>
      <c r="K667" s="8">
        <f>IFERROR(VLOOKUP(I667, data!E:F, 2, FALSE), "Precio Unidad")</f>
        <v>177</v>
      </c>
      <c r="L667" s="9">
        <f t="shared" si="11"/>
        <v>1062</v>
      </c>
    </row>
    <row r="668" spans="1:12" ht="15" customHeight="1" x14ac:dyDescent="0.2">
      <c r="A668" s="54">
        <v>46193</v>
      </c>
      <c r="F668" s="7" t="str">
        <f>IFERROR(VLOOKUP(G668, data!A:B, 2, FALSE), "Tienda")</f>
        <v>SC MEXICALI NOVENA</v>
      </c>
      <c r="G668" s="1">
        <v>1617</v>
      </c>
      <c r="H668" s="2">
        <v>764</v>
      </c>
      <c r="I668" s="3" t="s">
        <v>12</v>
      </c>
      <c r="J668" s="4">
        <v>20</v>
      </c>
      <c r="K668" s="8">
        <f>IFERROR(VLOOKUP(I668, data!E:F, 2, FALSE), "Precio Unidad")</f>
        <v>95</v>
      </c>
      <c r="L668" s="9">
        <f t="shared" si="11"/>
        <v>1900</v>
      </c>
    </row>
    <row r="669" spans="1:12" ht="15" customHeight="1" x14ac:dyDescent="0.2">
      <c r="A669" s="54">
        <v>46193</v>
      </c>
      <c r="F669" s="7" t="str">
        <f>IFERROR(VLOOKUP(G669, data!A:B, 2, FALSE), "Tienda")</f>
        <v>SC MEXICALI NOVENA</v>
      </c>
      <c r="G669" s="1">
        <v>1617</v>
      </c>
      <c r="H669" s="2">
        <v>764</v>
      </c>
      <c r="I669" s="3" t="s">
        <v>13</v>
      </c>
      <c r="J669" s="4">
        <v>16</v>
      </c>
      <c r="K669" s="8">
        <f>IFERROR(VLOOKUP(I669, data!E:F, 2, FALSE), "Precio Unidad")</f>
        <v>63</v>
      </c>
      <c r="L669" s="9">
        <f t="shared" si="11"/>
        <v>1008</v>
      </c>
    </row>
    <row r="670" spans="1:12" ht="15" customHeight="1" x14ac:dyDescent="0.2">
      <c r="A670" s="54">
        <v>46193</v>
      </c>
      <c r="F670" s="7" t="str">
        <f>IFERROR(VLOOKUP(G670, data!A:B, 2, FALSE), "Tienda")</f>
        <v>SC PLAZA SAN PEDRO</v>
      </c>
      <c r="G670" s="1">
        <v>1140</v>
      </c>
      <c r="H670" s="2">
        <v>765</v>
      </c>
      <c r="I670" s="3" t="s">
        <v>6</v>
      </c>
      <c r="J670" s="4">
        <v>4</v>
      </c>
      <c r="K670" s="8">
        <f>IFERROR(VLOOKUP(I670, data!E:F, 2, FALSE), "Precio Unidad")</f>
        <v>167</v>
      </c>
      <c r="L670" s="9">
        <f t="shared" si="11"/>
        <v>668</v>
      </c>
    </row>
    <row r="671" spans="1:12" ht="15" customHeight="1" x14ac:dyDescent="0.2">
      <c r="A671" s="54">
        <v>46193</v>
      </c>
      <c r="F671" s="7" t="str">
        <f>IFERROR(VLOOKUP(G671, data!A:B, 2, FALSE), "Tienda")</f>
        <v>SC PLAZA SAN PEDRO</v>
      </c>
      <c r="G671" s="1">
        <v>1140</v>
      </c>
      <c r="H671" s="2">
        <v>765</v>
      </c>
      <c r="I671" s="3" t="s">
        <v>7</v>
      </c>
      <c r="J671" s="4">
        <v>6</v>
      </c>
      <c r="K671" s="8">
        <f>IFERROR(VLOOKUP(I671, data!E:F, 2, FALSE), "Precio Unidad")</f>
        <v>113</v>
      </c>
      <c r="L671" s="9">
        <f t="shared" si="11"/>
        <v>678</v>
      </c>
    </row>
    <row r="672" spans="1:12" ht="15" customHeight="1" x14ac:dyDescent="0.2">
      <c r="A672" s="54">
        <v>46193</v>
      </c>
      <c r="F672" s="7" t="str">
        <f>IFERROR(VLOOKUP(G672, data!A:B, 2, FALSE), "Tienda")</f>
        <v>SC PLAZA SAN PEDRO</v>
      </c>
      <c r="G672" s="1">
        <v>1140</v>
      </c>
      <c r="H672" s="2">
        <v>765</v>
      </c>
      <c r="I672" s="3" t="s">
        <v>10</v>
      </c>
      <c r="J672" s="4">
        <v>8</v>
      </c>
      <c r="K672" s="8">
        <f>IFERROR(VLOOKUP(I672, data!E:F, 2, FALSE), "Precio Unidad")</f>
        <v>151</v>
      </c>
      <c r="L672" s="9">
        <f t="shared" si="11"/>
        <v>1208</v>
      </c>
    </row>
    <row r="673" spans="1:12" ht="15" customHeight="1" x14ac:dyDescent="0.2">
      <c r="A673" s="54">
        <v>46193</v>
      </c>
      <c r="F673" s="7" t="str">
        <f>IFERROR(VLOOKUP(G673, data!A:B, 2, FALSE), "Tienda")</f>
        <v>SC PLAZA SAN PEDRO</v>
      </c>
      <c r="G673" s="1">
        <v>1140</v>
      </c>
      <c r="H673" s="2">
        <v>765</v>
      </c>
      <c r="I673" s="3" t="s">
        <v>12</v>
      </c>
      <c r="J673" s="4">
        <v>10</v>
      </c>
      <c r="K673" s="8">
        <f>IFERROR(VLOOKUP(I673, data!E:F, 2, FALSE), "Precio Unidad")</f>
        <v>95</v>
      </c>
      <c r="L673" s="9">
        <f t="shared" si="11"/>
        <v>950</v>
      </c>
    </row>
    <row r="674" spans="1:12" ht="15" customHeight="1" x14ac:dyDescent="0.2">
      <c r="A674" s="54">
        <v>46193</v>
      </c>
      <c r="F674" s="7" t="str">
        <f>IFERROR(VLOOKUP(G674, data!A:B, 2, FALSE), "Tienda")</f>
        <v>SC PLAZA SAN PEDRO</v>
      </c>
      <c r="G674" s="1">
        <v>1140</v>
      </c>
      <c r="H674" s="2">
        <v>765</v>
      </c>
      <c r="I674" s="3" t="s">
        <v>13</v>
      </c>
      <c r="J674" s="4">
        <v>16</v>
      </c>
      <c r="K674" s="8">
        <f>IFERROR(VLOOKUP(I674, data!E:F, 2, FALSE), "Precio Unidad")</f>
        <v>63</v>
      </c>
      <c r="L674" s="9">
        <f t="shared" si="11"/>
        <v>1008</v>
      </c>
    </row>
    <row r="675" spans="1:12" ht="15" customHeight="1" x14ac:dyDescent="0.2">
      <c r="A675" s="54">
        <v>46195</v>
      </c>
      <c r="F675" s="7" t="str">
        <f>IFERROR(VLOOKUP(G675, data!A:B, 2, FALSE), "Tienda")</f>
        <v>SC TECATE GARITA</v>
      </c>
      <c r="G675" s="1">
        <v>5295</v>
      </c>
      <c r="H675" s="2">
        <v>766</v>
      </c>
      <c r="I675" s="3" t="s">
        <v>12</v>
      </c>
      <c r="J675" s="4">
        <v>10</v>
      </c>
      <c r="K675" s="8">
        <f>IFERROR(VLOOKUP(I675, data!E:F, 2, FALSE), "Precio Unidad")</f>
        <v>95</v>
      </c>
      <c r="L675" s="9">
        <f t="shared" si="11"/>
        <v>950</v>
      </c>
    </row>
    <row r="676" spans="1:12" ht="15" customHeight="1" x14ac:dyDescent="0.2">
      <c r="A676" s="54">
        <v>46195</v>
      </c>
      <c r="F676" s="7" t="str">
        <f>IFERROR(VLOOKUP(G676, data!A:B, 2, FALSE), "Tienda")</f>
        <v>SC TECATE GARITA</v>
      </c>
      <c r="G676" s="1">
        <v>5295</v>
      </c>
      <c r="H676" s="2">
        <v>766</v>
      </c>
      <c r="I676" s="3" t="s">
        <v>13</v>
      </c>
      <c r="J676" s="4">
        <v>8</v>
      </c>
      <c r="K676" s="8">
        <f>IFERROR(VLOOKUP(I676, data!E:F, 2, FALSE), "Precio Unidad")</f>
        <v>63</v>
      </c>
      <c r="L676" s="9">
        <f t="shared" si="11"/>
        <v>504</v>
      </c>
    </row>
    <row r="677" spans="1:12" ht="15" customHeight="1" x14ac:dyDescent="0.2">
      <c r="A677" s="54">
        <v>46195</v>
      </c>
      <c r="F677" s="7" t="str">
        <f>IFERROR(VLOOKUP(G677, data!A:B, 2, FALSE), "Tienda")</f>
        <v>SC ROSARITO</v>
      </c>
      <c r="G677" s="1">
        <v>4187</v>
      </c>
      <c r="H677" s="2">
        <v>767</v>
      </c>
      <c r="I677" s="3" t="s">
        <v>12</v>
      </c>
      <c r="J677" s="4">
        <v>10</v>
      </c>
      <c r="K677" s="8">
        <f>IFERROR(VLOOKUP(I677, data!E:F, 2, FALSE), "Precio Unidad")</f>
        <v>95</v>
      </c>
      <c r="L677" s="9">
        <f t="shared" si="11"/>
        <v>950</v>
      </c>
    </row>
    <row r="678" spans="1:12" ht="15" customHeight="1" x14ac:dyDescent="0.2">
      <c r="A678" s="54">
        <v>46195</v>
      </c>
      <c r="F678" s="7" t="str">
        <f>IFERROR(VLOOKUP(G678, data!A:B, 2, FALSE), "Tienda")</f>
        <v>SC ROSARITO</v>
      </c>
      <c r="G678" s="1">
        <v>4187</v>
      </c>
      <c r="H678" s="2">
        <v>767</v>
      </c>
      <c r="I678" s="3" t="s">
        <v>13</v>
      </c>
      <c r="J678" s="4">
        <v>8</v>
      </c>
      <c r="K678" s="8">
        <f>IFERROR(VLOOKUP(I678, data!E:F, 2, FALSE), "Precio Unidad")</f>
        <v>63</v>
      </c>
      <c r="L678" s="9">
        <f t="shared" si="11"/>
        <v>504</v>
      </c>
    </row>
    <row r="679" spans="1:12" ht="15" customHeight="1" x14ac:dyDescent="0.2">
      <c r="A679" s="54">
        <v>46195</v>
      </c>
      <c r="F679" s="7" t="str">
        <f>IFERROR(VLOOKUP(G679, data!A:B, 2, FALSE), "Tienda")</f>
        <v>SC TIJUANA 2000</v>
      </c>
      <c r="G679" s="1">
        <v>4155</v>
      </c>
      <c r="H679" s="2">
        <v>768</v>
      </c>
      <c r="I679" s="3" t="s">
        <v>12</v>
      </c>
      <c r="J679" s="4">
        <v>10</v>
      </c>
      <c r="K679" s="8">
        <f>IFERROR(VLOOKUP(I679, data!E:F, 2, FALSE), "Precio Unidad")</f>
        <v>95</v>
      </c>
      <c r="L679" s="9">
        <f t="shared" si="11"/>
        <v>950</v>
      </c>
    </row>
    <row r="680" spans="1:12" ht="15" customHeight="1" x14ac:dyDescent="0.2">
      <c r="A680" s="54">
        <v>46195</v>
      </c>
      <c r="F680" s="7" t="str">
        <f>IFERROR(VLOOKUP(G680, data!A:B, 2, FALSE), "Tienda")</f>
        <v>SC TIJUANA 2000</v>
      </c>
      <c r="G680" s="1">
        <v>4155</v>
      </c>
      <c r="H680" s="2">
        <v>768</v>
      </c>
      <c r="I680" s="3" t="s">
        <v>13</v>
      </c>
      <c r="J680" s="4">
        <v>8</v>
      </c>
      <c r="K680" s="8">
        <f>IFERROR(VLOOKUP(I680, data!E:F, 2, FALSE), "Precio Unidad")</f>
        <v>63</v>
      </c>
      <c r="L680" s="9">
        <f t="shared" si="11"/>
        <v>504</v>
      </c>
    </row>
    <row r="681" spans="1:12" ht="15" customHeight="1" x14ac:dyDescent="0.2">
      <c r="A681" s="54">
        <v>46195</v>
      </c>
      <c r="F681" s="7" t="str">
        <f>IFERROR(VLOOKUP(G681, data!A:B, 2, FALSE), "Tienda")</f>
        <v>SC TIJUANA HIPODROMO</v>
      </c>
      <c r="G681" s="1">
        <v>4011</v>
      </c>
      <c r="H681" s="2">
        <v>769</v>
      </c>
      <c r="I681" s="3" t="s">
        <v>12</v>
      </c>
      <c r="J681" s="4">
        <v>10</v>
      </c>
      <c r="K681" s="8">
        <f>IFERROR(VLOOKUP(I681, data!E:F, 2, FALSE), "Precio Unidad")</f>
        <v>95</v>
      </c>
      <c r="L681" s="9">
        <f t="shared" si="11"/>
        <v>950</v>
      </c>
    </row>
    <row r="682" spans="1:12" ht="15" customHeight="1" x14ac:dyDescent="0.2">
      <c r="A682" s="54">
        <v>46195</v>
      </c>
      <c r="F682" s="7" t="str">
        <f>IFERROR(VLOOKUP(G682, data!A:B, 2, FALSE), "Tienda")</f>
        <v>SC TIJUANA HIPODROMO</v>
      </c>
      <c r="G682" s="1">
        <v>4011</v>
      </c>
      <c r="H682" s="2">
        <v>769</v>
      </c>
      <c r="I682" s="3" t="s">
        <v>13</v>
      </c>
      <c r="J682" s="4">
        <v>8</v>
      </c>
      <c r="K682" s="8">
        <f>IFERROR(VLOOKUP(I682, data!E:F, 2, FALSE), "Precio Unidad")</f>
        <v>63</v>
      </c>
      <c r="L682" s="9">
        <f t="shared" si="11"/>
        <v>504</v>
      </c>
    </row>
    <row r="683" spans="1:12" ht="15" customHeight="1" x14ac:dyDescent="0.2">
      <c r="A683" s="54">
        <v>46195</v>
      </c>
      <c r="F683" s="7" t="str">
        <f>IFERROR(VLOOKUP(G683, data!A:B, 2, FALSE), "Tienda")</f>
        <v>SC DIAZ ORDAZ</v>
      </c>
      <c r="G683" s="1">
        <v>3664</v>
      </c>
      <c r="H683" s="2">
        <v>770</v>
      </c>
      <c r="I683" s="3" t="s">
        <v>12</v>
      </c>
      <c r="J683" s="4">
        <v>10</v>
      </c>
      <c r="K683" s="8">
        <f>IFERROR(VLOOKUP(I683, data!E:F, 2, FALSE), "Precio Unidad")</f>
        <v>95</v>
      </c>
      <c r="L683" s="9">
        <f t="shared" si="11"/>
        <v>950</v>
      </c>
    </row>
    <row r="684" spans="1:12" ht="15" customHeight="1" x14ac:dyDescent="0.2">
      <c r="A684" s="54">
        <v>46195</v>
      </c>
      <c r="F684" s="7" t="str">
        <f>IFERROR(VLOOKUP(G684, data!A:B, 2, FALSE), "Tienda")</f>
        <v>SC DIAZ ORDAZ</v>
      </c>
      <c r="G684" s="1">
        <v>3664</v>
      </c>
      <c r="H684" s="2">
        <v>770</v>
      </c>
      <c r="I684" s="3" t="s">
        <v>13</v>
      </c>
      <c r="J684" s="4">
        <v>8</v>
      </c>
      <c r="K684" s="8">
        <f>IFERROR(VLOOKUP(I684, data!E:F, 2, FALSE), "Precio Unidad")</f>
        <v>63</v>
      </c>
      <c r="L684" s="9">
        <f t="shared" si="11"/>
        <v>504</v>
      </c>
    </row>
    <row r="685" spans="1:12" ht="15" customHeight="1" x14ac:dyDescent="0.2">
      <c r="A685" s="54">
        <v>46195</v>
      </c>
      <c r="F685" s="7" t="str">
        <f>IFERROR(VLOOKUP(G685, data!A:B, 2, FALSE), "Tienda")</f>
        <v>SC MACROPLAZA INSURGENTES</v>
      </c>
      <c r="G685" s="1">
        <v>2023</v>
      </c>
      <c r="H685" s="2">
        <v>771</v>
      </c>
      <c r="I685" s="3" t="s">
        <v>12</v>
      </c>
      <c r="J685" s="4">
        <v>10</v>
      </c>
      <c r="K685" s="8">
        <f>IFERROR(VLOOKUP(I685, data!E:F, 2, FALSE), "Precio Unidad")</f>
        <v>95</v>
      </c>
      <c r="L685" s="9">
        <f t="shared" si="11"/>
        <v>950</v>
      </c>
    </row>
    <row r="686" spans="1:12" ht="15" customHeight="1" x14ac:dyDescent="0.2">
      <c r="A686" s="54">
        <v>46195</v>
      </c>
      <c r="F686" s="7" t="str">
        <f>IFERROR(VLOOKUP(G686, data!A:B, 2, FALSE), "Tienda")</f>
        <v>SC MACROPLAZA INSURGENTES</v>
      </c>
      <c r="G686" s="1">
        <v>2023</v>
      </c>
      <c r="H686" s="2">
        <v>771</v>
      </c>
      <c r="I686" s="3" t="s">
        <v>13</v>
      </c>
      <c r="J686" s="4">
        <v>8</v>
      </c>
      <c r="K686" s="8">
        <f>IFERROR(VLOOKUP(I686, data!E:F, 2, FALSE), "Precio Unidad")</f>
        <v>63</v>
      </c>
      <c r="L686" s="9">
        <f t="shared" si="11"/>
        <v>504</v>
      </c>
    </row>
    <row r="687" spans="1:12" ht="15" customHeight="1" x14ac:dyDescent="0.2">
      <c r="A687" s="54">
        <v>46195</v>
      </c>
      <c r="F687" s="7" t="str">
        <f>IFERROR(VLOOKUP(G687, data!A:B, 2, FALSE), "Tienda")</f>
        <v>SC LOMAS DE SANTA FE</v>
      </c>
      <c r="G687" s="1">
        <v>190</v>
      </c>
      <c r="H687" s="2">
        <v>772</v>
      </c>
      <c r="I687" s="3" t="s">
        <v>10</v>
      </c>
      <c r="J687" s="4">
        <v>8</v>
      </c>
      <c r="K687" s="8">
        <f>IFERROR(VLOOKUP(I687, data!E:F, 2, FALSE), "Precio Unidad")</f>
        <v>151</v>
      </c>
      <c r="L687" s="9">
        <f t="shared" si="11"/>
        <v>1208</v>
      </c>
    </row>
    <row r="688" spans="1:12" ht="15" customHeight="1" x14ac:dyDescent="0.2">
      <c r="A688" s="54">
        <v>46195</v>
      </c>
      <c r="F688" s="7" t="str">
        <f>IFERROR(VLOOKUP(G688, data!A:B, 2, FALSE), "Tienda")</f>
        <v>SC LOMAS DE SANTA FE</v>
      </c>
      <c r="G688" s="1">
        <v>190</v>
      </c>
      <c r="H688" s="2">
        <v>772</v>
      </c>
      <c r="I688" s="3" t="s">
        <v>13</v>
      </c>
      <c r="J688" s="4">
        <v>8</v>
      </c>
      <c r="K688" s="8">
        <f>IFERROR(VLOOKUP(I688, data!E:F, 2, FALSE), "Precio Unidad")</f>
        <v>63</v>
      </c>
      <c r="L688" s="9">
        <f t="shared" si="11"/>
        <v>504</v>
      </c>
    </row>
    <row r="689" spans="1:12" ht="15" customHeight="1" x14ac:dyDescent="0.2">
      <c r="A689" s="54">
        <v>46195</v>
      </c>
      <c r="F689" s="7" t="str">
        <f>IFERROR(VLOOKUP(G689, data!A:B, 2, FALSE), "Tienda")</f>
        <v>SC PACIFICO</v>
      </c>
      <c r="G689" s="1">
        <v>1616</v>
      </c>
      <c r="H689" s="2">
        <v>773</v>
      </c>
      <c r="I689" s="3" t="s">
        <v>12</v>
      </c>
      <c r="J689" s="4">
        <v>5</v>
      </c>
      <c r="K689" s="8">
        <f>IFERROR(VLOOKUP(I689, data!E:F, 2, FALSE), "Precio Unidad")</f>
        <v>95</v>
      </c>
      <c r="L689" s="9">
        <f t="shared" si="11"/>
        <v>475</v>
      </c>
    </row>
    <row r="690" spans="1:12" ht="15" customHeight="1" x14ac:dyDescent="0.2">
      <c r="A690" s="54">
        <v>46195</v>
      </c>
      <c r="F690" s="7" t="str">
        <f>IFERROR(VLOOKUP(G690, data!A:B, 2, FALSE), "Tienda")</f>
        <v>SC PACIFICO</v>
      </c>
      <c r="G690" s="1">
        <v>1616</v>
      </c>
      <c r="H690" s="2">
        <v>773</v>
      </c>
      <c r="I690" s="3" t="s">
        <v>13</v>
      </c>
      <c r="J690" s="4">
        <v>4</v>
      </c>
      <c r="K690" s="8">
        <f>IFERROR(VLOOKUP(I690, data!E:F, 2, FALSE), "Precio Unidad")</f>
        <v>63</v>
      </c>
      <c r="L690" s="9">
        <f t="shared" si="11"/>
        <v>252</v>
      </c>
    </row>
    <row r="691" spans="1:12" ht="15" customHeight="1" x14ac:dyDescent="0.2">
      <c r="A691" s="54">
        <v>46195</v>
      </c>
      <c r="F691" s="7" t="str">
        <f>IFERROR(VLOOKUP(G691, data!A:B, 2, FALSE), "Tienda")</f>
        <v>SC PLAYAS DE TIJUANA</v>
      </c>
      <c r="G691" s="1">
        <v>1613</v>
      </c>
      <c r="H691" s="2">
        <v>774</v>
      </c>
      <c r="I691" s="3" t="s">
        <v>11</v>
      </c>
      <c r="J691" s="4">
        <v>6</v>
      </c>
      <c r="K691" s="8">
        <f>IFERROR(VLOOKUP(I691, data!E:F, 2, FALSE), "Precio Unidad")</f>
        <v>177</v>
      </c>
      <c r="L691" s="9">
        <f t="shared" si="11"/>
        <v>1062</v>
      </c>
    </row>
    <row r="692" spans="1:12" ht="15" customHeight="1" x14ac:dyDescent="0.2">
      <c r="A692" s="54">
        <v>46195</v>
      </c>
      <c r="F692" s="7" t="str">
        <f>IFERROR(VLOOKUP(G692, data!A:B, 2, FALSE), "Tienda")</f>
        <v>SC PLAYAS DE TIJUANA</v>
      </c>
      <c r="G692" s="1">
        <v>1613</v>
      </c>
      <c r="H692" s="2">
        <v>774</v>
      </c>
      <c r="I692" s="3" t="s">
        <v>12</v>
      </c>
      <c r="J692" s="4">
        <v>5</v>
      </c>
      <c r="K692" s="8">
        <f>IFERROR(VLOOKUP(I692, data!E:F, 2, FALSE), "Precio Unidad")</f>
        <v>95</v>
      </c>
      <c r="L692" s="9">
        <f t="shared" si="11"/>
        <v>475</v>
      </c>
    </row>
    <row r="693" spans="1:12" ht="15" customHeight="1" x14ac:dyDescent="0.2">
      <c r="A693" s="54">
        <v>46195</v>
      </c>
      <c r="F693" s="7" t="str">
        <f>IFERROR(VLOOKUP(G693, data!A:B, 2, FALSE), "Tienda")</f>
        <v>SC PLAYAS DE TIJUANA</v>
      </c>
      <c r="G693" s="1">
        <v>1613</v>
      </c>
      <c r="H693" s="2">
        <v>774</v>
      </c>
      <c r="I693" s="3" t="s">
        <v>13</v>
      </c>
      <c r="J693" s="4">
        <v>12</v>
      </c>
      <c r="K693" s="8">
        <f>IFERROR(VLOOKUP(I693, data!E:F, 2, FALSE), "Precio Unidad")</f>
        <v>63</v>
      </c>
      <c r="L693" s="9">
        <f t="shared" si="11"/>
        <v>756</v>
      </c>
    </row>
    <row r="694" spans="1:12" ht="15" customHeight="1" x14ac:dyDescent="0.2">
      <c r="A694" s="54">
        <v>46196</v>
      </c>
      <c r="F694" s="7" t="str">
        <f>IFERROR(VLOOKUP(G694, data!A:B, 2, FALSE), "Tienda")</f>
        <v>SC ENSENADA CENTRO</v>
      </c>
      <c r="G694" s="1">
        <v>2947</v>
      </c>
      <c r="H694" s="2">
        <v>775</v>
      </c>
      <c r="I694" s="3" t="s">
        <v>10</v>
      </c>
      <c r="J694" s="4">
        <v>8</v>
      </c>
      <c r="K694" s="8">
        <f>IFERROR(VLOOKUP(I694, data!E:F, 2, FALSE), "Precio Unidad")</f>
        <v>151</v>
      </c>
      <c r="L694" s="9">
        <f t="shared" si="11"/>
        <v>1208</v>
      </c>
    </row>
    <row r="695" spans="1:12" ht="15" customHeight="1" x14ac:dyDescent="0.2">
      <c r="A695" s="54">
        <v>46196</v>
      </c>
      <c r="F695" s="7" t="str">
        <f>IFERROR(VLOOKUP(G695, data!A:B, 2, FALSE), "Tienda")</f>
        <v>SC ENSENADA CENTRO</v>
      </c>
      <c r="G695" s="1">
        <v>2947</v>
      </c>
      <c r="H695" s="2">
        <v>775</v>
      </c>
      <c r="I695" s="3" t="s">
        <v>13</v>
      </c>
      <c r="J695" s="4">
        <v>16</v>
      </c>
      <c r="K695" s="8">
        <f>IFERROR(VLOOKUP(I695, data!E:F, 2, FALSE), "Precio Unidad")</f>
        <v>63</v>
      </c>
      <c r="L695" s="9">
        <f t="shared" si="11"/>
        <v>1008</v>
      </c>
    </row>
    <row r="696" spans="1:12" ht="15" customHeight="1" x14ac:dyDescent="0.2">
      <c r="A696" s="54">
        <v>46197</v>
      </c>
      <c r="F696" s="7" t="str">
        <f>IFERROR(VLOOKUP(G696, data!A:B, 2, FALSE), "Tienda")</f>
        <v>SC NUEVO MEXICALI</v>
      </c>
      <c r="G696" s="1">
        <v>5041</v>
      </c>
      <c r="H696" s="2">
        <v>776</v>
      </c>
      <c r="I696" s="3" t="s">
        <v>6</v>
      </c>
      <c r="J696" s="4">
        <v>5</v>
      </c>
      <c r="K696" s="8">
        <f>IFERROR(VLOOKUP(I696, data!E:F, 2, FALSE), "Precio Unidad")</f>
        <v>167</v>
      </c>
      <c r="L696" s="9">
        <f t="shared" si="11"/>
        <v>835</v>
      </c>
    </row>
    <row r="697" spans="1:12" ht="15" customHeight="1" x14ac:dyDescent="0.2">
      <c r="A697" s="54">
        <v>46197</v>
      </c>
      <c r="F697" s="7" t="str">
        <f>IFERROR(VLOOKUP(G697, data!A:B, 2, FALSE), "Tienda")</f>
        <v>SC NUEVO MEXICALI</v>
      </c>
      <c r="G697" s="1">
        <v>5041</v>
      </c>
      <c r="H697" s="2">
        <v>776</v>
      </c>
      <c r="I697" s="3" t="s">
        <v>7</v>
      </c>
      <c r="J697" s="4">
        <v>5</v>
      </c>
      <c r="K697" s="8">
        <f>IFERROR(VLOOKUP(I697, data!E:F, 2, FALSE), "Precio Unidad")</f>
        <v>113</v>
      </c>
      <c r="L697" s="9">
        <f t="shared" si="11"/>
        <v>565</v>
      </c>
    </row>
    <row r="698" spans="1:12" ht="15" customHeight="1" x14ac:dyDescent="0.2">
      <c r="A698" s="54">
        <v>46197</v>
      </c>
      <c r="F698" s="7" t="str">
        <f>IFERROR(VLOOKUP(G698, data!A:B, 2, FALSE), "Tienda")</f>
        <v>SC NUEVO MEXICALI</v>
      </c>
      <c r="G698" s="1">
        <v>5041</v>
      </c>
      <c r="H698" s="2">
        <v>776</v>
      </c>
      <c r="I698" s="3" t="s">
        <v>10</v>
      </c>
      <c r="J698" s="4">
        <v>8</v>
      </c>
      <c r="K698" s="8">
        <f>IFERROR(VLOOKUP(I698, data!E:F, 2, FALSE), "Precio Unidad")</f>
        <v>151</v>
      </c>
      <c r="L698" s="9">
        <f t="shared" si="11"/>
        <v>1208</v>
      </c>
    </row>
    <row r="699" spans="1:12" ht="15" customHeight="1" x14ac:dyDescent="0.2">
      <c r="A699" s="54">
        <v>46197</v>
      </c>
      <c r="F699" s="7" t="str">
        <f>IFERROR(VLOOKUP(G699, data!A:B, 2, FALSE), "Tienda")</f>
        <v>SC NUEVO MEXICALI</v>
      </c>
      <c r="G699" s="1">
        <v>5041</v>
      </c>
      <c r="H699" s="2">
        <v>776</v>
      </c>
      <c r="I699" s="3" t="s">
        <v>11</v>
      </c>
      <c r="J699" s="4">
        <v>16</v>
      </c>
      <c r="K699" s="8">
        <f>IFERROR(VLOOKUP(I699, data!E:F, 2, FALSE), "Precio Unidad")</f>
        <v>177</v>
      </c>
      <c r="L699" s="9">
        <f t="shared" si="11"/>
        <v>2832</v>
      </c>
    </row>
    <row r="700" spans="1:12" ht="15" customHeight="1" x14ac:dyDescent="0.2">
      <c r="A700" s="54">
        <v>46197</v>
      </c>
      <c r="F700" s="7" t="str">
        <f>IFERROR(VLOOKUP(G700, data!A:B, 2, FALSE), "Tienda")</f>
        <v>SC NUEVO MEXICALI</v>
      </c>
      <c r="G700" s="1">
        <v>5041</v>
      </c>
      <c r="H700" s="2">
        <v>776</v>
      </c>
      <c r="I700" s="3" t="s">
        <v>12</v>
      </c>
      <c r="J700" s="4">
        <v>30</v>
      </c>
      <c r="K700" s="8">
        <f>IFERROR(VLOOKUP(I700, data!E:F, 2, FALSE), "Precio Unidad")</f>
        <v>95</v>
      </c>
      <c r="L700" s="9">
        <f t="shared" si="11"/>
        <v>2850</v>
      </c>
    </row>
    <row r="701" spans="1:12" ht="15" customHeight="1" x14ac:dyDescent="0.2">
      <c r="A701" s="54">
        <v>46197</v>
      </c>
      <c r="F701" s="7" t="str">
        <f>IFERROR(VLOOKUP(G701, data!A:B, 2, FALSE), "Tienda")</f>
        <v>SC NUEVO MEXICALI</v>
      </c>
      <c r="G701" s="1">
        <v>5041</v>
      </c>
      <c r="H701" s="2">
        <v>776</v>
      </c>
      <c r="I701" s="3" t="s">
        <v>13</v>
      </c>
      <c r="J701" s="4">
        <v>24</v>
      </c>
      <c r="K701" s="8">
        <f>IFERROR(VLOOKUP(I701, data!E:F, 2, FALSE), "Precio Unidad")</f>
        <v>63</v>
      </c>
      <c r="L701" s="9">
        <f t="shared" si="11"/>
        <v>1512</v>
      </c>
    </row>
    <row r="702" spans="1:12" ht="15" customHeight="1" x14ac:dyDescent="0.2">
      <c r="A702" s="54">
        <v>46197</v>
      </c>
      <c r="F702" s="7" t="str">
        <f>IFERROR(VLOOKUP(G702, data!A:B, 2, FALSE), "Tienda")</f>
        <v>SC GALERIAS DEL VALLE</v>
      </c>
      <c r="G702" s="1">
        <v>4026</v>
      </c>
      <c r="H702" s="2">
        <v>777</v>
      </c>
      <c r="I702" s="3" t="s">
        <v>6</v>
      </c>
      <c r="J702" s="4">
        <v>4</v>
      </c>
      <c r="K702" s="8">
        <f>IFERROR(VLOOKUP(I702, data!E:F, 2, FALSE), "Precio Unidad")</f>
        <v>167</v>
      </c>
      <c r="L702" s="9">
        <f t="shared" si="11"/>
        <v>668</v>
      </c>
    </row>
    <row r="703" spans="1:12" ht="15" customHeight="1" x14ac:dyDescent="0.2">
      <c r="A703" s="54">
        <v>46197</v>
      </c>
      <c r="F703" s="7" t="str">
        <f>IFERROR(VLOOKUP(G703, data!A:B, 2, FALSE), "Tienda")</f>
        <v>SC GALERIAS DEL VALLE</v>
      </c>
      <c r="G703" s="1">
        <v>4026</v>
      </c>
      <c r="H703" s="2">
        <v>777</v>
      </c>
      <c r="I703" s="3" t="s">
        <v>7</v>
      </c>
      <c r="J703" s="4">
        <v>6</v>
      </c>
      <c r="K703" s="8">
        <f>IFERROR(VLOOKUP(I703, data!E:F, 2, FALSE), "Precio Unidad")</f>
        <v>113</v>
      </c>
      <c r="L703" s="9">
        <f t="shared" si="11"/>
        <v>678</v>
      </c>
    </row>
    <row r="704" spans="1:12" ht="15" customHeight="1" x14ac:dyDescent="0.2">
      <c r="A704" s="54">
        <v>46197</v>
      </c>
      <c r="F704" s="7" t="str">
        <f>IFERROR(VLOOKUP(G704, data!A:B, 2, FALSE), "Tienda")</f>
        <v>SC GALERIAS DEL VALLE</v>
      </c>
      <c r="G704" s="1">
        <v>4026</v>
      </c>
      <c r="H704" s="2">
        <v>777</v>
      </c>
      <c r="I704" s="3" t="s">
        <v>10</v>
      </c>
      <c r="J704" s="4">
        <v>16</v>
      </c>
      <c r="K704" s="8">
        <f>IFERROR(VLOOKUP(I704, data!E:F, 2, FALSE), "Precio Unidad")</f>
        <v>151</v>
      </c>
      <c r="L704" s="9">
        <f t="shared" si="11"/>
        <v>2416</v>
      </c>
    </row>
    <row r="705" spans="1:12" ht="15" customHeight="1" x14ac:dyDescent="0.2">
      <c r="A705" s="54">
        <v>46197</v>
      </c>
      <c r="F705" s="7" t="str">
        <f>IFERROR(VLOOKUP(G705, data!A:B, 2, FALSE), "Tienda")</f>
        <v>SC GALERIAS DEL VALLE</v>
      </c>
      <c r="G705" s="1">
        <v>4026</v>
      </c>
      <c r="H705" s="2">
        <v>777</v>
      </c>
      <c r="I705" s="3" t="s">
        <v>12</v>
      </c>
      <c r="J705" s="4">
        <v>20</v>
      </c>
      <c r="K705" s="8">
        <f>IFERROR(VLOOKUP(I705, data!E:F, 2, FALSE), "Precio Unidad")</f>
        <v>95</v>
      </c>
      <c r="L705" s="9">
        <f t="shared" si="11"/>
        <v>1900</v>
      </c>
    </row>
    <row r="706" spans="1:12" ht="15" customHeight="1" x14ac:dyDescent="0.2">
      <c r="A706" s="54">
        <v>46197</v>
      </c>
      <c r="F706" s="7" t="str">
        <f>IFERROR(VLOOKUP(G706, data!A:B, 2, FALSE), "Tienda")</f>
        <v>SC GALERIAS DEL VALLE</v>
      </c>
      <c r="G706" s="1">
        <v>4026</v>
      </c>
      <c r="H706" s="2">
        <v>777</v>
      </c>
      <c r="I706" s="3" t="s">
        <v>13</v>
      </c>
      <c r="J706" s="4">
        <v>24</v>
      </c>
      <c r="K706" s="8">
        <f>IFERROR(VLOOKUP(I706, data!E:F, 2, FALSE), "Precio Unidad")</f>
        <v>63</v>
      </c>
      <c r="L706" s="9">
        <f t="shared" si="11"/>
        <v>1512</v>
      </c>
    </row>
    <row r="707" spans="1:12" ht="15" customHeight="1" x14ac:dyDescent="0.2">
      <c r="A707" s="54">
        <v>46197</v>
      </c>
      <c r="F707" s="7" t="str">
        <f>IFERROR(VLOOKUP(G707, data!A:B, 2, FALSE), "Tienda")</f>
        <v>SC MEXICALI</v>
      </c>
      <c r="G707" s="1">
        <v>2304</v>
      </c>
      <c r="H707" s="2">
        <v>778</v>
      </c>
      <c r="I707" s="3" t="s">
        <v>6</v>
      </c>
      <c r="J707" s="4">
        <v>8</v>
      </c>
      <c r="K707" s="8">
        <f>IFERROR(VLOOKUP(I707, data!E:F, 2, FALSE), "Precio Unidad")</f>
        <v>167</v>
      </c>
      <c r="L707" s="9">
        <f t="shared" si="11"/>
        <v>1336</v>
      </c>
    </row>
    <row r="708" spans="1:12" ht="15" customHeight="1" x14ac:dyDescent="0.2">
      <c r="A708" s="54">
        <v>46197</v>
      </c>
      <c r="F708" s="7" t="str">
        <f>IFERROR(VLOOKUP(G708, data!A:B, 2, FALSE), "Tienda")</f>
        <v>SC MEXICALI</v>
      </c>
      <c r="G708" s="1">
        <v>2304</v>
      </c>
      <c r="H708" s="2">
        <v>778</v>
      </c>
      <c r="I708" s="3" t="s">
        <v>7</v>
      </c>
      <c r="J708" s="4">
        <v>10</v>
      </c>
      <c r="K708" s="8">
        <f>IFERROR(VLOOKUP(I708, data!E:F, 2, FALSE), "Precio Unidad")</f>
        <v>113</v>
      </c>
      <c r="L708" s="9">
        <f t="shared" si="11"/>
        <v>1130</v>
      </c>
    </row>
    <row r="709" spans="1:12" ht="15" customHeight="1" x14ac:dyDescent="0.2">
      <c r="A709" s="54">
        <v>46197</v>
      </c>
      <c r="F709" s="7" t="str">
        <f>IFERROR(VLOOKUP(G709, data!A:B, 2, FALSE), "Tienda")</f>
        <v>SC MEXICALI</v>
      </c>
      <c r="G709" s="1">
        <v>2304</v>
      </c>
      <c r="H709" s="2">
        <v>778</v>
      </c>
      <c r="I709" s="3" t="s">
        <v>10</v>
      </c>
      <c r="J709" s="4">
        <v>16</v>
      </c>
      <c r="K709" s="8">
        <f>IFERROR(VLOOKUP(I709, data!E:F, 2, FALSE), "Precio Unidad")</f>
        <v>151</v>
      </c>
      <c r="L709" s="9">
        <f t="shared" ref="L709:L772" si="12">K709*J709</f>
        <v>2416</v>
      </c>
    </row>
    <row r="710" spans="1:12" ht="15" customHeight="1" x14ac:dyDescent="0.2">
      <c r="A710" s="54">
        <v>46197</v>
      </c>
      <c r="F710" s="7" t="str">
        <f>IFERROR(VLOOKUP(G710, data!A:B, 2, FALSE), "Tienda")</f>
        <v>SC MEXICALI</v>
      </c>
      <c r="G710" s="1">
        <v>2304</v>
      </c>
      <c r="H710" s="2">
        <v>778</v>
      </c>
      <c r="I710" s="3" t="s">
        <v>11</v>
      </c>
      <c r="J710" s="4">
        <v>6</v>
      </c>
      <c r="K710" s="8">
        <f>IFERROR(VLOOKUP(I710, data!E:F, 2, FALSE), "Precio Unidad")</f>
        <v>177</v>
      </c>
      <c r="L710" s="9">
        <f t="shared" si="12"/>
        <v>1062</v>
      </c>
    </row>
    <row r="711" spans="1:12" ht="15" customHeight="1" x14ac:dyDescent="0.2">
      <c r="A711" s="54">
        <v>46197</v>
      </c>
      <c r="F711" s="7" t="str">
        <f>IFERROR(VLOOKUP(G711, data!A:B, 2, FALSE), "Tienda")</f>
        <v>SC MEXICALI</v>
      </c>
      <c r="G711" s="1">
        <v>2304</v>
      </c>
      <c r="H711" s="2">
        <v>778</v>
      </c>
      <c r="I711" s="3" t="s">
        <v>12</v>
      </c>
      <c r="J711" s="4">
        <v>20</v>
      </c>
      <c r="K711" s="8">
        <f>IFERROR(VLOOKUP(I711, data!E:F, 2, FALSE), "Precio Unidad")</f>
        <v>95</v>
      </c>
      <c r="L711" s="9">
        <f t="shared" si="12"/>
        <v>1900</v>
      </c>
    </row>
    <row r="712" spans="1:12" ht="15" customHeight="1" x14ac:dyDescent="0.2">
      <c r="A712" s="54">
        <v>46197</v>
      </c>
      <c r="F712" s="7" t="str">
        <f>IFERROR(VLOOKUP(G712, data!A:B, 2, FALSE), "Tienda")</f>
        <v>SC MEXICALI</v>
      </c>
      <c r="G712" s="1">
        <v>2304</v>
      </c>
      <c r="H712" s="2">
        <v>778</v>
      </c>
      <c r="I712" s="3" t="s">
        <v>13</v>
      </c>
      <c r="J712" s="4">
        <v>16</v>
      </c>
      <c r="K712" s="8">
        <f>IFERROR(VLOOKUP(I712, data!E:F, 2, FALSE), "Precio Unidad")</f>
        <v>63</v>
      </c>
      <c r="L712" s="9">
        <f t="shared" si="12"/>
        <v>1008</v>
      </c>
    </row>
    <row r="713" spans="1:12" ht="15" customHeight="1" x14ac:dyDescent="0.2">
      <c r="A713" s="54">
        <v>46197</v>
      </c>
      <c r="F713" s="7" t="str">
        <f>IFERROR(VLOOKUP(G713, data!A:B, 2, FALSE), "Tienda")</f>
        <v>SC MEXICALI NOVENA</v>
      </c>
      <c r="G713" s="1">
        <v>1617</v>
      </c>
      <c r="H713" s="2">
        <v>779</v>
      </c>
      <c r="I713" s="3" t="s">
        <v>6</v>
      </c>
      <c r="J713" s="4">
        <v>12</v>
      </c>
      <c r="K713" s="8">
        <f>IFERROR(VLOOKUP(I713, data!E:F, 2, FALSE), "Precio Unidad")</f>
        <v>167</v>
      </c>
      <c r="L713" s="9">
        <f t="shared" si="12"/>
        <v>2004</v>
      </c>
    </row>
    <row r="714" spans="1:12" ht="15" customHeight="1" x14ac:dyDescent="0.2">
      <c r="A714" s="54">
        <v>46197</v>
      </c>
      <c r="F714" s="7" t="str">
        <f>IFERROR(VLOOKUP(G714, data!A:B, 2, FALSE), "Tienda")</f>
        <v>SC MEXICALI NOVENA</v>
      </c>
      <c r="G714" s="1">
        <v>1617</v>
      </c>
      <c r="H714" s="2">
        <v>779</v>
      </c>
      <c r="I714" s="3" t="s">
        <v>7</v>
      </c>
      <c r="J714" s="4">
        <v>10</v>
      </c>
      <c r="K714" s="8">
        <f>IFERROR(VLOOKUP(I714, data!E:F, 2, FALSE), "Precio Unidad")</f>
        <v>113</v>
      </c>
      <c r="L714" s="9">
        <f t="shared" si="12"/>
        <v>1130</v>
      </c>
    </row>
    <row r="715" spans="1:12" ht="15" customHeight="1" x14ac:dyDescent="0.2">
      <c r="A715" s="54">
        <v>46197</v>
      </c>
      <c r="F715" s="7" t="str">
        <f>IFERROR(VLOOKUP(G715, data!A:B, 2, FALSE), "Tienda")</f>
        <v>SC MEXICALI NOVENA</v>
      </c>
      <c r="G715" s="1">
        <v>1617</v>
      </c>
      <c r="H715" s="2">
        <v>779</v>
      </c>
      <c r="I715" s="3" t="s">
        <v>10</v>
      </c>
      <c r="J715" s="4">
        <v>24</v>
      </c>
      <c r="K715" s="8">
        <f>IFERROR(VLOOKUP(I715, data!E:F, 2, FALSE), "Precio Unidad")</f>
        <v>151</v>
      </c>
      <c r="L715" s="9">
        <f t="shared" si="12"/>
        <v>3624</v>
      </c>
    </row>
    <row r="716" spans="1:12" ht="15" customHeight="1" x14ac:dyDescent="0.2">
      <c r="A716" s="54">
        <v>46197</v>
      </c>
      <c r="F716" s="7" t="str">
        <f>IFERROR(VLOOKUP(G716, data!A:B, 2, FALSE), "Tienda")</f>
        <v>SC MEXICALI NOVENA</v>
      </c>
      <c r="G716" s="1">
        <v>1617</v>
      </c>
      <c r="H716" s="2">
        <v>779</v>
      </c>
      <c r="I716" s="3" t="s">
        <v>11</v>
      </c>
      <c r="J716" s="4">
        <v>16</v>
      </c>
      <c r="K716" s="8">
        <f>IFERROR(VLOOKUP(I716, data!E:F, 2, FALSE), "Precio Unidad")</f>
        <v>177</v>
      </c>
      <c r="L716" s="9">
        <f t="shared" si="12"/>
        <v>2832</v>
      </c>
    </row>
    <row r="717" spans="1:12" ht="15" customHeight="1" x14ac:dyDescent="0.2">
      <c r="A717" s="54">
        <v>46197</v>
      </c>
      <c r="F717" s="7" t="str">
        <f>IFERROR(VLOOKUP(G717, data!A:B, 2, FALSE), "Tienda")</f>
        <v>SC MEXICALI NOVENA</v>
      </c>
      <c r="G717" s="1">
        <v>1617</v>
      </c>
      <c r="H717" s="2">
        <v>779</v>
      </c>
      <c r="I717" s="3" t="s">
        <v>12</v>
      </c>
      <c r="J717" s="4">
        <v>20</v>
      </c>
      <c r="K717" s="8">
        <f>IFERROR(VLOOKUP(I717, data!E:F, 2, FALSE), "Precio Unidad")</f>
        <v>95</v>
      </c>
      <c r="L717" s="9">
        <f t="shared" si="12"/>
        <v>1900</v>
      </c>
    </row>
    <row r="718" spans="1:12" ht="15" customHeight="1" x14ac:dyDescent="0.2">
      <c r="A718" s="54">
        <v>46197</v>
      </c>
      <c r="F718" s="7" t="str">
        <f>IFERROR(VLOOKUP(G718, data!A:B, 2, FALSE), "Tienda")</f>
        <v>SC MEXICALI NOVENA</v>
      </c>
      <c r="G718" s="1">
        <v>1617</v>
      </c>
      <c r="H718" s="2">
        <v>779</v>
      </c>
      <c r="I718" s="3" t="s">
        <v>13</v>
      </c>
      <c r="J718" s="4">
        <v>24</v>
      </c>
      <c r="K718" s="8">
        <f>IFERROR(VLOOKUP(I718, data!E:F, 2, FALSE), "Precio Unidad")</f>
        <v>63</v>
      </c>
      <c r="L718" s="9">
        <f t="shared" si="12"/>
        <v>1512</v>
      </c>
    </row>
    <row r="719" spans="1:12" ht="15" customHeight="1" x14ac:dyDescent="0.2">
      <c r="A719" s="54">
        <v>46197</v>
      </c>
      <c r="F719" s="7" t="str">
        <f>IFERROR(VLOOKUP(G719, data!A:B, 2, FALSE), "Tienda")</f>
        <v>SC PLAZA SAN PEDRO</v>
      </c>
      <c r="G719" s="1">
        <v>1140</v>
      </c>
      <c r="H719" s="2">
        <v>780</v>
      </c>
      <c r="I719" s="3" t="s">
        <v>6</v>
      </c>
      <c r="J719" s="4">
        <v>8</v>
      </c>
      <c r="K719" s="8">
        <f>IFERROR(VLOOKUP(I719, data!E:F, 2, FALSE), "Precio Unidad")</f>
        <v>167</v>
      </c>
      <c r="L719" s="9">
        <f t="shared" si="12"/>
        <v>1336</v>
      </c>
    </row>
    <row r="720" spans="1:12" ht="15" customHeight="1" x14ac:dyDescent="0.2">
      <c r="A720" s="54">
        <v>46197</v>
      </c>
      <c r="F720" s="7" t="str">
        <f>IFERROR(VLOOKUP(G720, data!A:B, 2, FALSE), "Tienda")</f>
        <v>SC PLAZA SAN PEDRO</v>
      </c>
      <c r="G720" s="1">
        <v>1140</v>
      </c>
      <c r="H720" s="2">
        <v>780</v>
      </c>
      <c r="I720" s="3" t="s">
        <v>7</v>
      </c>
      <c r="J720" s="4">
        <v>10</v>
      </c>
      <c r="K720" s="8">
        <f>IFERROR(VLOOKUP(I720, data!E:F, 2, FALSE), "Precio Unidad")</f>
        <v>113</v>
      </c>
      <c r="L720" s="9">
        <f t="shared" si="12"/>
        <v>1130</v>
      </c>
    </row>
    <row r="721" spans="1:12" ht="15" customHeight="1" x14ac:dyDescent="0.2">
      <c r="A721" s="54">
        <v>46197</v>
      </c>
      <c r="F721" s="7" t="str">
        <f>IFERROR(VLOOKUP(G721, data!A:B, 2, FALSE), "Tienda")</f>
        <v>SC PLAZA SAN PEDRO</v>
      </c>
      <c r="G721" s="1">
        <v>1140</v>
      </c>
      <c r="H721" s="2">
        <v>780</v>
      </c>
      <c r="I721" s="3" t="s">
        <v>10</v>
      </c>
      <c r="J721" s="4">
        <v>16</v>
      </c>
      <c r="K721" s="8">
        <f>IFERROR(VLOOKUP(I721, data!E:F, 2, FALSE), "Precio Unidad")</f>
        <v>151</v>
      </c>
      <c r="L721" s="9">
        <f t="shared" si="12"/>
        <v>2416</v>
      </c>
    </row>
    <row r="722" spans="1:12" ht="15" customHeight="1" x14ac:dyDescent="0.2">
      <c r="A722" s="54">
        <v>46197</v>
      </c>
      <c r="F722" s="7" t="str">
        <f>IFERROR(VLOOKUP(G722, data!A:B, 2, FALSE), "Tienda")</f>
        <v>SC PLAZA SAN PEDRO</v>
      </c>
      <c r="G722" s="1">
        <v>1140</v>
      </c>
      <c r="H722" s="2">
        <v>780</v>
      </c>
      <c r="I722" s="3" t="s">
        <v>12</v>
      </c>
      <c r="J722" s="4">
        <v>10</v>
      </c>
      <c r="K722" s="8">
        <f>IFERROR(VLOOKUP(I722, data!E:F, 2, FALSE), "Precio Unidad")</f>
        <v>95</v>
      </c>
      <c r="L722" s="9">
        <f t="shared" si="12"/>
        <v>950</v>
      </c>
    </row>
    <row r="723" spans="1:12" ht="15" customHeight="1" x14ac:dyDescent="0.2">
      <c r="A723" s="54">
        <v>46197</v>
      </c>
      <c r="F723" s="7" t="str">
        <f>IFERROR(VLOOKUP(G723, data!A:B, 2, FALSE), "Tienda")</f>
        <v>SC PLAZA SAN PEDRO</v>
      </c>
      <c r="G723" s="1">
        <v>1140</v>
      </c>
      <c r="H723" s="2">
        <v>780</v>
      </c>
      <c r="I723" s="3" t="s">
        <v>13</v>
      </c>
      <c r="J723" s="4">
        <v>8</v>
      </c>
      <c r="K723" s="8">
        <f>IFERROR(VLOOKUP(I723, data!E:F, 2, FALSE), "Precio Unidad")</f>
        <v>63</v>
      </c>
      <c r="L723" s="9">
        <f t="shared" si="12"/>
        <v>504</v>
      </c>
    </row>
    <row r="724" spans="1:12" ht="15" customHeight="1" x14ac:dyDescent="0.2">
      <c r="A724" s="54">
        <v>46197</v>
      </c>
      <c r="F724" s="7" t="str">
        <f>IFERROR(VLOOKUP(G724, data!A:B, 2, FALSE), "Tienda")</f>
        <v>SC ENSENADA</v>
      </c>
      <c r="G724" s="1">
        <v>3015</v>
      </c>
      <c r="H724" s="2">
        <v>781</v>
      </c>
      <c r="I724" s="3" t="s">
        <v>13</v>
      </c>
      <c r="J724" s="4">
        <v>8</v>
      </c>
      <c r="K724" s="8">
        <f>IFERROR(VLOOKUP(I724, data!E:F, 2, FALSE), "Precio Unidad")</f>
        <v>63</v>
      </c>
      <c r="L724" s="9">
        <f t="shared" si="12"/>
        <v>504</v>
      </c>
    </row>
    <row r="725" spans="1:12" ht="15" customHeight="1" x14ac:dyDescent="0.2">
      <c r="A725" s="54">
        <v>46198</v>
      </c>
      <c r="F725" s="7" t="str">
        <f>IFERROR(VLOOKUP(G725, data!A:B, 2, FALSE), "Tienda")</f>
        <v>SC TECATE GARITA</v>
      </c>
      <c r="G725" s="1">
        <v>5295</v>
      </c>
      <c r="H725" s="2">
        <v>782</v>
      </c>
      <c r="I725" s="3" t="s">
        <v>10</v>
      </c>
      <c r="J725" s="4">
        <v>8</v>
      </c>
      <c r="K725" s="8">
        <f>IFERROR(VLOOKUP(I725, data!E:F, 2, FALSE), "Precio Unidad")</f>
        <v>151</v>
      </c>
      <c r="L725" s="9">
        <f t="shared" si="12"/>
        <v>1208</v>
      </c>
    </row>
    <row r="726" spans="1:12" ht="15" customHeight="1" x14ac:dyDescent="0.2">
      <c r="A726" s="54">
        <v>46198</v>
      </c>
      <c r="F726" s="7" t="str">
        <f>IFERROR(VLOOKUP(G726, data!A:B, 2, FALSE), "Tienda")</f>
        <v>SC TECATE GARITA</v>
      </c>
      <c r="G726" s="1">
        <v>5295</v>
      </c>
      <c r="H726" s="2">
        <v>782</v>
      </c>
      <c r="I726" s="3" t="s">
        <v>12</v>
      </c>
      <c r="J726" s="4">
        <v>10</v>
      </c>
      <c r="K726" s="8">
        <f>IFERROR(VLOOKUP(I726, data!E:F, 2, FALSE), "Precio Unidad")</f>
        <v>95</v>
      </c>
      <c r="L726" s="9">
        <f t="shared" si="12"/>
        <v>950</v>
      </c>
    </row>
    <row r="727" spans="1:12" ht="15" customHeight="1" x14ac:dyDescent="0.2">
      <c r="A727" s="54">
        <v>46198</v>
      </c>
      <c r="F727" s="7" t="str">
        <f>IFERROR(VLOOKUP(G727, data!A:B, 2, FALSE), "Tienda")</f>
        <v>SC TECATE GARITA</v>
      </c>
      <c r="G727" s="1">
        <v>5295</v>
      </c>
      <c r="H727" s="2">
        <v>782</v>
      </c>
      <c r="I727" s="3" t="s">
        <v>13</v>
      </c>
      <c r="J727" s="4">
        <v>16</v>
      </c>
      <c r="K727" s="8">
        <f>IFERROR(VLOOKUP(I727, data!E:F, 2, FALSE), "Precio Unidad")</f>
        <v>63</v>
      </c>
      <c r="L727" s="9">
        <f t="shared" si="12"/>
        <v>1008</v>
      </c>
    </row>
    <row r="728" spans="1:12" ht="15" customHeight="1" x14ac:dyDescent="0.2">
      <c r="A728" s="54">
        <v>46198</v>
      </c>
      <c r="F728" s="7" t="str">
        <f>IFERROR(VLOOKUP(G728, data!A:B, 2, FALSE), "Tienda")</f>
        <v>SC ROSARITO</v>
      </c>
      <c r="G728" s="1">
        <v>4187</v>
      </c>
      <c r="H728" s="2">
        <v>783</v>
      </c>
      <c r="I728" s="3" t="s">
        <v>6</v>
      </c>
      <c r="J728" s="4">
        <v>4</v>
      </c>
      <c r="K728" s="8">
        <f>IFERROR(VLOOKUP(I728, data!E:F, 2, FALSE), "Precio Unidad")</f>
        <v>167</v>
      </c>
      <c r="L728" s="9">
        <f t="shared" si="12"/>
        <v>668</v>
      </c>
    </row>
    <row r="729" spans="1:12" ht="15" customHeight="1" x14ac:dyDescent="0.2">
      <c r="A729" s="54">
        <v>46198</v>
      </c>
      <c r="F729" s="7" t="str">
        <f>IFERROR(VLOOKUP(G729, data!A:B, 2, FALSE), "Tienda")</f>
        <v>SC ROSARITO</v>
      </c>
      <c r="G729" s="1">
        <v>4187</v>
      </c>
      <c r="H729" s="2">
        <v>783</v>
      </c>
      <c r="I729" s="3" t="s">
        <v>7</v>
      </c>
      <c r="J729" s="4">
        <v>6</v>
      </c>
      <c r="K729" s="8">
        <f>IFERROR(VLOOKUP(I729, data!E:F, 2, FALSE), "Precio Unidad")</f>
        <v>113</v>
      </c>
      <c r="L729" s="9">
        <f t="shared" si="12"/>
        <v>678</v>
      </c>
    </row>
    <row r="730" spans="1:12" ht="15" customHeight="1" x14ac:dyDescent="0.2">
      <c r="A730" s="54">
        <v>46198</v>
      </c>
      <c r="F730" s="7" t="str">
        <f>IFERROR(VLOOKUP(G730, data!A:B, 2, FALSE), "Tienda")</f>
        <v>SC ROSARITO</v>
      </c>
      <c r="G730" s="1">
        <v>4187</v>
      </c>
      <c r="H730" s="2">
        <v>783</v>
      </c>
      <c r="I730" s="3" t="s">
        <v>10</v>
      </c>
      <c r="J730" s="4">
        <v>8</v>
      </c>
      <c r="K730" s="8">
        <f>IFERROR(VLOOKUP(I730, data!E:F, 2, FALSE), "Precio Unidad")</f>
        <v>151</v>
      </c>
      <c r="L730" s="9">
        <f t="shared" si="12"/>
        <v>1208</v>
      </c>
    </row>
    <row r="731" spans="1:12" ht="15" customHeight="1" x14ac:dyDescent="0.2">
      <c r="A731" s="54">
        <v>46198</v>
      </c>
      <c r="F731" s="7" t="str">
        <f>IFERROR(VLOOKUP(G731, data!A:B, 2, FALSE), "Tienda")</f>
        <v>SC ROSARITO</v>
      </c>
      <c r="G731" s="1">
        <v>4187</v>
      </c>
      <c r="H731" s="2">
        <v>783</v>
      </c>
      <c r="I731" s="3" t="s">
        <v>12</v>
      </c>
      <c r="J731" s="4">
        <v>10</v>
      </c>
      <c r="K731" s="8">
        <f>IFERROR(VLOOKUP(I731, data!E:F, 2, FALSE), "Precio Unidad")</f>
        <v>95</v>
      </c>
      <c r="L731" s="9">
        <f t="shared" si="12"/>
        <v>950</v>
      </c>
    </row>
    <row r="732" spans="1:12" ht="15" customHeight="1" x14ac:dyDescent="0.2">
      <c r="A732" s="54">
        <v>46198</v>
      </c>
      <c r="F732" s="7" t="str">
        <f>IFERROR(VLOOKUP(G732, data!A:B, 2, FALSE), "Tienda")</f>
        <v>SC ROSARITO</v>
      </c>
      <c r="G732" s="1">
        <v>4187</v>
      </c>
      <c r="H732" s="2">
        <v>783</v>
      </c>
      <c r="I732" s="3" t="s">
        <v>13</v>
      </c>
      <c r="J732" s="4">
        <v>15</v>
      </c>
      <c r="K732" s="8">
        <f>IFERROR(VLOOKUP(I732, data!E:F, 2, FALSE), "Precio Unidad")</f>
        <v>63</v>
      </c>
      <c r="L732" s="9">
        <f t="shared" si="12"/>
        <v>945</v>
      </c>
    </row>
    <row r="733" spans="1:12" ht="15" customHeight="1" x14ac:dyDescent="0.2">
      <c r="A733" s="54">
        <v>46198</v>
      </c>
      <c r="F733" s="7" t="str">
        <f>IFERROR(VLOOKUP(G733, data!A:B, 2, FALSE), "Tienda")</f>
        <v>SC TIJUANA 2000</v>
      </c>
      <c r="G733" s="1">
        <v>4155</v>
      </c>
      <c r="H733" s="2">
        <v>784</v>
      </c>
      <c r="I733" s="3" t="s">
        <v>6</v>
      </c>
      <c r="J733" s="4">
        <v>3</v>
      </c>
      <c r="K733" s="8">
        <f>IFERROR(VLOOKUP(I733, data!E:F, 2, FALSE), "Precio Unidad")</f>
        <v>167</v>
      </c>
      <c r="L733" s="9">
        <f t="shared" si="12"/>
        <v>501</v>
      </c>
    </row>
    <row r="734" spans="1:12" ht="15" customHeight="1" x14ac:dyDescent="0.2">
      <c r="A734" s="54">
        <v>46198</v>
      </c>
      <c r="F734" s="7" t="str">
        <f>IFERROR(VLOOKUP(G734, data!A:B, 2, FALSE), "Tienda")</f>
        <v>SC TIJUANA 2000</v>
      </c>
      <c r="G734" s="1">
        <v>4155</v>
      </c>
      <c r="H734" s="2">
        <v>784</v>
      </c>
      <c r="I734" s="3" t="s">
        <v>7</v>
      </c>
      <c r="J734" s="4">
        <v>6</v>
      </c>
      <c r="K734" s="8">
        <f>IFERROR(VLOOKUP(I734, data!E:F, 2, FALSE), "Precio Unidad")</f>
        <v>113</v>
      </c>
      <c r="L734" s="9">
        <f t="shared" si="12"/>
        <v>678</v>
      </c>
    </row>
    <row r="735" spans="1:12" ht="15" customHeight="1" x14ac:dyDescent="0.2">
      <c r="A735" s="54">
        <v>46198</v>
      </c>
      <c r="F735" s="7" t="str">
        <f>IFERROR(VLOOKUP(G735, data!A:B, 2, FALSE), "Tienda")</f>
        <v>SC TIJUANA 2000</v>
      </c>
      <c r="G735" s="1">
        <v>4155</v>
      </c>
      <c r="H735" s="2">
        <v>784</v>
      </c>
      <c r="I735" s="3" t="s">
        <v>13</v>
      </c>
      <c r="J735" s="4">
        <v>16</v>
      </c>
      <c r="K735" s="8">
        <f>IFERROR(VLOOKUP(I735, data!E:F, 2, FALSE), "Precio Unidad")</f>
        <v>63</v>
      </c>
      <c r="L735" s="9">
        <f t="shared" si="12"/>
        <v>1008</v>
      </c>
    </row>
    <row r="736" spans="1:12" ht="15" customHeight="1" x14ac:dyDescent="0.2">
      <c r="A736" s="54">
        <v>46198</v>
      </c>
      <c r="F736" s="7" t="str">
        <f>IFERROR(VLOOKUP(G736, data!A:B, 2, FALSE), "Tienda")</f>
        <v>SC TIJUANA HIPODROMO</v>
      </c>
      <c r="G736" s="1">
        <v>4011</v>
      </c>
      <c r="H736" s="2">
        <v>785</v>
      </c>
      <c r="I736" s="3" t="s">
        <v>10</v>
      </c>
      <c r="J736" s="4">
        <v>8</v>
      </c>
      <c r="K736" s="8">
        <f>IFERROR(VLOOKUP(I736, data!E:F, 2, FALSE), "Precio Unidad")</f>
        <v>151</v>
      </c>
      <c r="L736" s="9">
        <f t="shared" si="12"/>
        <v>1208</v>
      </c>
    </row>
    <row r="737" spans="1:12" ht="15" customHeight="1" x14ac:dyDescent="0.2">
      <c r="A737" s="54">
        <v>46198</v>
      </c>
      <c r="F737" s="7" t="str">
        <f>IFERROR(VLOOKUP(G737, data!A:B, 2, FALSE), "Tienda")</f>
        <v>SC TIJUANA HIPODROMO</v>
      </c>
      <c r="G737" s="1">
        <v>4011</v>
      </c>
      <c r="H737" s="2">
        <v>785</v>
      </c>
      <c r="I737" s="3" t="s">
        <v>12</v>
      </c>
      <c r="J737" s="4">
        <v>10</v>
      </c>
      <c r="K737" s="8">
        <f>IFERROR(VLOOKUP(I737, data!E:F, 2, FALSE), "Precio Unidad")</f>
        <v>95</v>
      </c>
      <c r="L737" s="9">
        <f t="shared" si="12"/>
        <v>950</v>
      </c>
    </row>
    <row r="738" spans="1:12" ht="15" customHeight="1" x14ac:dyDescent="0.2">
      <c r="A738" s="54">
        <v>46198</v>
      </c>
      <c r="F738" s="7" t="str">
        <f>IFERROR(VLOOKUP(G738, data!A:B, 2, FALSE), "Tienda")</f>
        <v>SC TIJUANA HIPODROMO</v>
      </c>
      <c r="G738" s="1">
        <v>4011</v>
      </c>
      <c r="H738" s="2">
        <v>785</v>
      </c>
      <c r="I738" s="3" t="s">
        <v>13</v>
      </c>
      <c r="J738" s="4">
        <v>16</v>
      </c>
      <c r="K738" s="8">
        <f>IFERROR(VLOOKUP(I738, data!E:F, 2, FALSE), "Precio Unidad")</f>
        <v>63</v>
      </c>
      <c r="L738" s="9">
        <f t="shared" si="12"/>
        <v>1008</v>
      </c>
    </row>
    <row r="739" spans="1:12" ht="15" customHeight="1" x14ac:dyDescent="0.2">
      <c r="A739" s="54">
        <v>46198</v>
      </c>
      <c r="F739" s="7" t="str">
        <f>IFERROR(VLOOKUP(G739, data!A:B, 2, FALSE), "Tienda")</f>
        <v>SC DIAZ ORDAZ</v>
      </c>
      <c r="G739" s="1">
        <v>3664</v>
      </c>
      <c r="H739" s="2">
        <v>786</v>
      </c>
      <c r="I739" s="3" t="s">
        <v>10</v>
      </c>
      <c r="J739" s="4">
        <v>8</v>
      </c>
      <c r="K739" s="8">
        <f>IFERROR(VLOOKUP(I739, data!E:F, 2, FALSE), "Precio Unidad")</f>
        <v>151</v>
      </c>
      <c r="L739" s="9">
        <f t="shared" si="12"/>
        <v>1208</v>
      </c>
    </row>
    <row r="740" spans="1:12" ht="15" customHeight="1" x14ac:dyDescent="0.2">
      <c r="A740" s="54">
        <v>46198</v>
      </c>
      <c r="F740" s="7" t="str">
        <f>IFERROR(VLOOKUP(G740, data!A:B, 2, FALSE), "Tienda")</f>
        <v>SC DIAZ ORDAZ</v>
      </c>
      <c r="G740" s="1">
        <v>3664</v>
      </c>
      <c r="H740" s="2">
        <v>786</v>
      </c>
      <c r="I740" s="3" t="s">
        <v>12</v>
      </c>
      <c r="J740" s="4">
        <v>10</v>
      </c>
      <c r="K740" s="8">
        <f>IFERROR(VLOOKUP(I740, data!E:F, 2, FALSE), "Precio Unidad")</f>
        <v>95</v>
      </c>
      <c r="L740" s="9">
        <f t="shared" si="12"/>
        <v>950</v>
      </c>
    </row>
    <row r="741" spans="1:12" ht="15" customHeight="1" x14ac:dyDescent="0.2">
      <c r="A741" s="54">
        <v>46198</v>
      </c>
      <c r="F741" s="7" t="str">
        <f>IFERROR(VLOOKUP(G741, data!A:B, 2, FALSE), "Tienda")</f>
        <v>SC DIAZ ORDAZ</v>
      </c>
      <c r="G741" s="1">
        <v>3664</v>
      </c>
      <c r="H741" s="2">
        <v>786</v>
      </c>
      <c r="I741" s="3" t="s">
        <v>13</v>
      </c>
      <c r="J741" s="4">
        <v>16</v>
      </c>
      <c r="K741" s="8">
        <f>IFERROR(VLOOKUP(I741, data!E:F, 2, FALSE), "Precio Unidad")</f>
        <v>63</v>
      </c>
      <c r="L741" s="9">
        <f t="shared" si="12"/>
        <v>1008</v>
      </c>
    </row>
    <row r="742" spans="1:12" ht="15" customHeight="1" x14ac:dyDescent="0.2">
      <c r="A742" s="54">
        <v>46198</v>
      </c>
      <c r="F742" s="7" t="str">
        <f>IFERROR(VLOOKUP(G742, data!A:B, 2, FALSE), "Tienda")</f>
        <v>SC MACROPLAZA INSURGENTES</v>
      </c>
      <c r="G742" s="1">
        <v>2023</v>
      </c>
      <c r="H742" s="2">
        <v>787</v>
      </c>
      <c r="I742" s="3" t="s">
        <v>6</v>
      </c>
      <c r="J742" s="4">
        <v>4</v>
      </c>
      <c r="K742" s="8">
        <f>IFERROR(VLOOKUP(I742, data!E:F, 2, FALSE), "Precio Unidad")</f>
        <v>167</v>
      </c>
      <c r="L742" s="9">
        <f t="shared" si="12"/>
        <v>668</v>
      </c>
    </row>
    <row r="743" spans="1:12" ht="15" customHeight="1" x14ac:dyDescent="0.2">
      <c r="A743" s="54">
        <v>46198</v>
      </c>
      <c r="F743" s="7" t="str">
        <f>IFERROR(VLOOKUP(G743, data!A:B, 2, FALSE), "Tienda")</f>
        <v>SC MACROPLAZA INSURGENTES</v>
      </c>
      <c r="G743" s="1">
        <v>2023</v>
      </c>
      <c r="H743" s="2">
        <v>787</v>
      </c>
      <c r="I743" s="3" t="s">
        <v>7</v>
      </c>
      <c r="J743" s="4">
        <v>6</v>
      </c>
      <c r="K743" s="8">
        <f>IFERROR(VLOOKUP(I743, data!E:F, 2, FALSE), "Precio Unidad")</f>
        <v>113</v>
      </c>
      <c r="L743" s="9">
        <f t="shared" si="12"/>
        <v>678</v>
      </c>
    </row>
    <row r="744" spans="1:12" ht="15" customHeight="1" x14ac:dyDescent="0.2">
      <c r="A744" s="54">
        <v>46198</v>
      </c>
      <c r="F744" s="7" t="str">
        <f>IFERROR(VLOOKUP(G744, data!A:B, 2, FALSE), "Tienda")</f>
        <v>SC MACROPLAZA INSURGENTES</v>
      </c>
      <c r="G744" s="1">
        <v>2023</v>
      </c>
      <c r="H744" s="2">
        <v>787</v>
      </c>
      <c r="I744" s="3" t="s">
        <v>10</v>
      </c>
      <c r="J744" s="4">
        <v>8</v>
      </c>
      <c r="K744" s="8">
        <f>IFERROR(VLOOKUP(I744, data!E:F, 2, FALSE), "Precio Unidad")</f>
        <v>151</v>
      </c>
      <c r="L744" s="9">
        <f t="shared" si="12"/>
        <v>1208</v>
      </c>
    </row>
    <row r="745" spans="1:12" ht="15" customHeight="1" x14ac:dyDescent="0.2">
      <c r="A745" s="54">
        <v>46198</v>
      </c>
      <c r="F745" s="7" t="str">
        <f>IFERROR(VLOOKUP(G745, data!A:B, 2, FALSE), "Tienda")</f>
        <v>SC MACROPLAZA INSURGENTES</v>
      </c>
      <c r="G745" s="1">
        <v>2023</v>
      </c>
      <c r="H745" s="2">
        <v>787</v>
      </c>
      <c r="I745" s="3" t="s">
        <v>12</v>
      </c>
      <c r="J745" s="4">
        <v>10</v>
      </c>
      <c r="K745" s="8">
        <f>IFERROR(VLOOKUP(I745, data!E:F, 2, FALSE), "Precio Unidad")</f>
        <v>95</v>
      </c>
      <c r="L745" s="9">
        <f t="shared" si="12"/>
        <v>950</v>
      </c>
    </row>
    <row r="746" spans="1:12" ht="15" customHeight="1" x14ac:dyDescent="0.2">
      <c r="A746" s="54">
        <v>46198</v>
      </c>
      <c r="F746" s="7" t="str">
        <f>IFERROR(VLOOKUP(G746, data!A:B, 2, FALSE), "Tienda")</f>
        <v>SC MACROPLAZA INSURGENTES</v>
      </c>
      <c r="G746" s="1">
        <v>2023</v>
      </c>
      <c r="H746" s="2">
        <v>787</v>
      </c>
      <c r="I746" s="3" t="s">
        <v>13</v>
      </c>
      <c r="J746" s="4">
        <v>8</v>
      </c>
      <c r="K746" s="8">
        <f>IFERROR(VLOOKUP(I746, data!E:F, 2, FALSE), "Precio Unidad")</f>
        <v>63</v>
      </c>
      <c r="L746" s="9">
        <f t="shared" si="12"/>
        <v>504</v>
      </c>
    </row>
    <row r="747" spans="1:12" ht="15" customHeight="1" x14ac:dyDescent="0.2">
      <c r="A747" s="54">
        <v>46198</v>
      </c>
      <c r="F747" s="7" t="str">
        <f>IFERROR(VLOOKUP(G747, data!A:B, 2, FALSE), "Tienda")</f>
        <v>SC LOMAS DE SANTA FE</v>
      </c>
      <c r="G747" s="1">
        <v>190</v>
      </c>
      <c r="H747" s="2">
        <v>788</v>
      </c>
      <c r="I747" s="3" t="s">
        <v>10</v>
      </c>
      <c r="J747" s="4">
        <v>8</v>
      </c>
      <c r="K747" s="8">
        <f>IFERROR(VLOOKUP(I747, data!E:F, 2, FALSE), "Precio Unidad")</f>
        <v>151</v>
      </c>
      <c r="L747" s="9">
        <f t="shared" si="12"/>
        <v>1208</v>
      </c>
    </row>
    <row r="748" spans="1:12" ht="15" customHeight="1" x14ac:dyDescent="0.2">
      <c r="A748" s="54">
        <v>46198</v>
      </c>
      <c r="F748" s="7" t="str">
        <f>IFERROR(VLOOKUP(G748, data!A:B, 2, FALSE), "Tienda")</f>
        <v>SC LOMAS DE SANTA FE</v>
      </c>
      <c r="G748" s="1">
        <v>190</v>
      </c>
      <c r="H748" s="2">
        <v>788</v>
      </c>
      <c r="I748" s="3" t="s">
        <v>12</v>
      </c>
      <c r="J748" s="4">
        <v>5</v>
      </c>
      <c r="K748" s="8">
        <f>IFERROR(VLOOKUP(I748, data!E:F, 2, FALSE), "Precio Unidad")</f>
        <v>95</v>
      </c>
      <c r="L748" s="9">
        <f t="shared" si="12"/>
        <v>475</v>
      </c>
    </row>
    <row r="749" spans="1:12" ht="15" customHeight="1" x14ac:dyDescent="0.2">
      <c r="A749" s="54">
        <v>46198</v>
      </c>
      <c r="F749" s="7" t="str">
        <f>IFERROR(VLOOKUP(G749, data!A:B, 2, FALSE), "Tienda")</f>
        <v>SC LOMAS DE SANTA FE</v>
      </c>
      <c r="G749" s="1">
        <v>190</v>
      </c>
      <c r="H749" s="2">
        <v>788</v>
      </c>
      <c r="I749" s="3" t="s">
        <v>13</v>
      </c>
      <c r="J749" s="4">
        <v>20</v>
      </c>
      <c r="K749" s="8">
        <f>IFERROR(VLOOKUP(I749, data!E:F, 2, FALSE), "Precio Unidad")</f>
        <v>63</v>
      </c>
      <c r="L749" s="9">
        <f t="shared" si="12"/>
        <v>1260</v>
      </c>
    </row>
    <row r="750" spans="1:12" ht="15" customHeight="1" x14ac:dyDescent="0.2">
      <c r="A750" s="54">
        <v>46198</v>
      </c>
      <c r="F750" s="7" t="str">
        <f>IFERROR(VLOOKUP(G750, data!A:B, 2, FALSE), "Tienda")</f>
        <v>SC PACIFICO</v>
      </c>
      <c r="G750" s="1">
        <v>1616</v>
      </c>
      <c r="H750" s="2">
        <v>789</v>
      </c>
      <c r="I750" s="3" t="s">
        <v>12</v>
      </c>
      <c r="J750" s="4">
        <v>10</v>
      </c>
      <c r="K750" s="8">
        <f>IFERROR(VLOOKUP(I750, data!E:F, 2, FALSE), "Precio Unidad")</f>
        <v>95</v>
      </c>
      <c r="L750" s="9">
        <f t="shared" si="12"/>
        <v>950</v>
      </c>
    </row>
    <row r="751" spans="1:12" ht="15" customHeight="1" x14ac:dyDescent="0.2">
      <c r="A751" s="54">
        <v>46198</v>
      </c>
      <c r="F751" s="7" t="str">
        <f>IFERROR(VLOOKUP(G751, data!A:B, 2, FALSE), "Tienda")</f>
        <v>SC PACIFICO</v>
      </c>
      <c r="G751" s="1">
        <v>1616</v>
      </c>
      <c r="H751" s="2">
        <v>789</v>
      </c>
      <c r="I751" s="3" t="s">
        <v>13</v>
      </c>
      <c r="J751" s="4">
        <v>8</v>
      </c>
      <c r="K751" s="8">
        <f>IFERROR(VLOOKUP(I751, data!E:F, 2, FALSE), "Precio Unidad")</f>
        <v>63</v>
      </c>
      <c r="L751" s="9">
        <f t="shared" si="12"/>
        <v>504</v>
      </c>
    </row>
    <row r="752" spans="1:12" ht="15" customHeight="1" x14ac:dyDescent="0.2">
      <c r="A752" s="54">
        <v>46198</v>
      </c>
      <c r="F752" s="7" t="str">
        <f>IFERROR(VLOOKUP(G752, data!A:B, 2, FALSE), "Tienda")</f>
        <v>SC PLAYAS DE TIJUANA</v>
      </c>
      <c r="G752" s="1">
        <v>1613</v>
      </c>
      <c r="H752" s="2">
        <v>790</v>
      </c>
      <c r="I752" s="3" t="s">
        <v>6</v>
      </c>
      <c r="J752" s="4">
        <v>4</v>
      </c>
      <c r="K752" s="8">
        <f>IFERROR(VLOOKUP(I752, data!E:F, 2, FALSE), "Precio Unidad")</f>
        <v>167</v>
      </c>
      <c r="L752" s="9">
        <f t="shared" si="12"/>
        <v>668</v>
      </c>
    </row>
    <row r="753" spans="1:12" ht="15" customHeight="1" x14ac:dyDescent="0.2">
      <c r="A753" s="54">
        <v>46198</v>
      </c>
      <c r="F753" s="7" t="str">
        <f>IFERROR(VLOOKUP(G753, data!A:B, 2, FALSE), "Tienda")</f>
        <v>SC PLAYAS DE TIJUANA</v>
      </c>
      <c r="G753" s="1">
        <v>1613</v>
      </c>
      <c r="H753" s="2">
        <v>790</v>
      </c>
      <c r="I753" s="3" t="s">
        <v>7</v>
      </c>
      <c r="J753" s="4">
        <v>6</v>
      </c>
      <c r="K753" s="8">
        <f>IFERROR(VLOOKUP(I753, data!E:F, 2, FALSE), "Precio Unidad")</f>
        <v>113</v>
      </c>
      <c r="L753" s="9">
        <f t="shared" si="12"/>
        <v>678</v>
      </c>
    </row>
    <row r="754" spans="1:12" ht="15" customHeight="1" x14ac:dyDescent="0.2">
      <c r="A754" s="54">
        <v>46198</v>
      </c>
      <c r="F754" s="7" t="str">
        <f>IFERROR(VLOOKUP(G754, data!A:B, 2, FALSE), "Tienda")</f>
        <v>SC PLAYAS DE TIJUANA</v>
      </c>
      <c r="G754" s="1">
        <v>1613</v>
      </c>
      <c r="H754" s="2">
        <v>790</v>
      </c>
      <c r="I754" s="3" t="s">
        <v>10</v>
      </c>
      <c r="J754" s="4">
        <v>8</v>
      </c>
      <c r="K754" s="8">
        <f>IFERROR(VLOOKUP(I754, data!E:F, 2, FALSE), "Precio Unidad")</f>
        <v>151</v>
      </c>
      <c r="L754" s="9">
        <f t="shared" si="12"/>
        <v>1208</v>
      </c>
    </row>
    <row r="755" spans="1:12" ht="15" customHeight="1" x14ac:dyDescent="0.2">
      <c r="A755" s="54">
        <v>46198</v>
      </c>
      <c r="F755" s="7" t="str">
        <f>IFERROR(VLOOKUP(G755, data!A:B, 2, FALSE), "Tienda")</f>
        <v>SC PLAYAS DE TIJUANA</v>
      </c>
      <c r="G755" s="1">
        <v>1613</v>
      </c>
      <c r="H755" s="2">
        <v>790</v>
      </c>
      <c r="I755" s="3" t="s">
        <v>12</v>
      </c>
      <c r="J755" s="4">
        <v>10</v>
      </c>
      <c r="K755" s="8">
        <f>IFERROR(VLOOKUP(I755, data!E:F, 2, FALSE), "Precio Unidad")</f>
        <v>95</v>
      </c>
      <c r="L755" s="9">
        <f t="shared" si="12"/>
        <v>950</v>
      </c>
    </row>
    <row r="756" spans="1:12" ht="15" customHeight="1" x14ac:dyDescent="0.2">
      <c r="A756" s="54">
        <v>46198</v>
      </c>
      <c r="F756" s="7" t="str">
        <f>IFERROR(VLOOKUP(G756, data!A:B, 2, FALSE), "Tienda")</f>
        <v>SC PLAYAS DE TIJUANA</v>
      </c>
      <c r="G756" s="1">
        <v>1613</v>
      </c>
      <c r="H756" s="2">
        <v>790</v>
      </c>
      <c r="I756" s="3" t="s">
        <v>13</v>
      </c>
      <c r="J756" s="4">
        <v>16</v>
      </c>
      <c r="K756" s="8">
        <f>IFERROR(VLOOKUP(I756, data!E:F, 2, FALSE), "Precio Unidad")</f>
        <v>63</v>
      </c>
      <c r="L756" s="9">
        <f t="shared" si="12"/>
        <v>1008</v>
      </c>
    </row>
    <row r="757" spans="1:12" ht="15" customHeight="1" x14ac:dyDescent="0.2">
      <c r="A757" s="54">
        <v>46199</v>
      </c>
      <c r="F757" s="7" t="str">
        <f>IFERROR(VLOOKUP(G757, data!A:B, 2, FALSE), "Tienda")</f>
        <v>SC ENSENADA CENTRO</v>
      </c>
      <c r="G757" s="1">
        <v>2947</v>
      </c>
      <c r="H757" s="2">
        <v>793</v>
      </c>
      <c r="I757" s="3" t="s">
        <v>10</v>
      </c>
      <c r="J757" s="4">
        <v>16</v>
      </c>
      <c r="K757" s="8">
        <f>IFERROR(VLOOKUP(I757, data!E:F, 2, FALSE), "Precio Unidad")</f>
        <v>151</v>
      </c>
      <c r="L757" s="9">
        <f t="shared" si="12"/>
        <v>2416</v>
      </c>
    </row>
    <row r="758" spans="1:12" ht="15" customHeight="1" x14ac:dyDescent="0.2">
      <c r="A758" s="54">
        <v>46199</v>
      </c>
      <c r="F758" s="7" t="str">
        <f>IFERROR(VLOOKUP(G758, data!A:B, 2, FALSE), "Tienda")</f>
        <v>SC ENSENADA CENTRO</v>
      </c>
      <c r="G758" s="1">
        <v>2947</v>
      </c>
      <c r="H758" s="2">
        <v>793</v>
      </c>
      <c r="I758" s="3" t="s">
        <v>12</v>
      </c>
      <c r="J758" s="4">
        <v>10</v>
      </c>
      <c r="K758" s="8">
        <f>IFERROR(VLOOKUP(I758, data!E:F, 2, FALSE), "Precio Unidad")</f>
        <v>95</v>
      </c>
      <c r="L758" s="9">
        <f t="shared" si="12"/>
        <v>950</v>
      </c>
    </row>
    <row r="759" spans="1:12" ht="15" customHeight="1" x14ac:dyDescent="0.2">
      <c r="A759" s="54">
        <v>46199</v>
      </c>
      <c r="F759" s="7" t="str">
        <f>IFERROR(VLOOKUP(G759, data!A:B, 2, FALSE), "Tienda")</f>
        <v>SC ENSENADA CENTRO</v>
      </c>
      <c r="G759" s="1">
        <v>2947</v>
      </c>
      <c r="H759" s="2">
        <v>793</v>
      </c>
      <c r="I759" s="3" t="s">
        <v>13</v>
      </c>
      <c r="J759" s="4">
        <v>24</v>
      </c>
      <c r="K759" s="8">
        <f>IFERROR(VLOOKUP(I759, data!E:F, 2, FALSE), "Precio Unidad")</f>
        <v>63</v>
      </c>
      <c r="L759" s="9">
        <f t="shared" si="12"/>
        <v>1512</v>
      </c>
    </row>
    <row r="760" spans="1:12" ht="15" customHeight="1" x14ac:dyDescent="0.2">
      <c r="A760" s="54">
        <v>46199</v>
      </c>
      <c r="F760" s="7" t="str">
        <f>IFERROR(VLOOKUP(G760, data!A:B, 2, FALSE), "Tienda")</f>
        <v>SC ENSENADA</v>
      </c>
      <c r="G760" s="1">
        <v>3015</v>
      </c>
      <c r="H760" s="2">
        <v>794</v>
      </c>
      <c r="I760" s="3" t="s">
        <v>10</v>
      </c>
      <c r="J760" s="4">
        <v>8</v>
      </c>
      <c r="K760" s="8">
        <f>IFERROR(VLOOKUP(I760, data!E:F, 2, FALSE), "Precio Unidad")</f>
        <v>151</v>
      </c>
      <c r="L760" s="9">
        <f t="shared" si="12"/>
        <v>1208</v>
      </c>
    </row>
    <row r="761" spans="1:12" ht="15" customHeight="1" x14ac:dyDescent="0.2">
      <c r="A761" s="54">
        <v>46199</v>
      </c>
      <c r="F761" s="7" t="str">
        <f>IFERROR(VLOOKUP(G761, data!A:B, 2, FALSE), "Tienda")</f>
        <v>SC ENSENADA</v>
      </c>
      <c r="G761" s="1">
        <v>3015</v>
      </c>
      <c r="H761" s="2">
        <v>794</v>
      </c>
      <c r="I761" s="3" t="s">
        <v>12</v>
      </c>
      <c r="J761" s="4">
        <v>10</v>
      </c>
      <c r="K761" s="8">
        <f>IFERROR(VLOOKUP(I761, data!E:F, 2, FALSE), "Precio Unidad")</f>
        <v>95</v>
      </c>
      <c r="L761" s="9">
        <f t="shared" si="12"/>
        <v>950</v>
      </c>
    </row>
    <row r="762" spans="1:12" ht="15" customHeight="1" x14ac:dyDescent="0.2">
      <c r="A762" s="54">
        <v>46199</v>
      </c>
      <c r="F762" s="7" t="str">
        <f>IFERROR(VLOOKUP(G762, data!A:B, 2, FALSE), "Tienda")</f>
        <v>SC ENSENADA</v>
      </c>
      <c r="G762" s="1">
        <v>3015</v>
      </c>
      <c r="H762" s="2">
        <v>794</v>
      </c>
      <c r="I762" s="3" t="s">
        <v>13</v>
      </c>
      <c r="J762" s="4">
        <v>16</v>
      </c>
      <c r="K762" s="8">
        <f>IFERROR(VLOOKUP(I762, data!E:F, 2, FALSE), "Precio Unidad")</f>
        <v>63</v>
      </c>
      <c r="L762" s="9">
        <f t="shared" si="12"/>
        <v>1008</v>
      </c>
    </row>
    <row r="763" spans="1:12" ht="15" customHeight="1" x14ac:dyDescent="0.2">
      <c r="A763" s="54">
        <v>46200</v>
      </c>
      <c r="F763" s="7" t="str">
        <f>IFERROR(VLOOKUP(G763, data!A:B, 2, FALSE), "Tienda")</f>
        <v>SC PLAZA SAN PEDRO</v>
      </c>
      <c r="G763" s="1">
        <v>1140</v>
      </c>
      <c r="H763" s="2">
        <v>795</v>
      </c>
      <c r="I763" s="3" t="s">
        <v>6</v>
      </c>
      <c r="J763" s="4">
        <v>4</v>
      </c>
      <c r="K763" s="8">
        <f>IFERROR(VLOOKUP(I763, data!E:F, 2, FALSE), "Precio Unidad")</f>
        <v>167</v>
      </c>
      <c r="L763" s="9">
        <f t="shared" si="12"/>
        <v>668</v>
      </c>
    </row>
    <row r="764" spans="1:12" ht="15" customHeight="1" x14ac:dyDescent="0.2">
      <c r="A764" s="54">
        <v>46200</v>
      </c>
      <c r="F764" s="7" t="str">
        <f>IFERROR(VLOOKUP(G764, data!A:B, 2, FALSE), "Tienda")</f>
        <v>SC PLAZA SAN PEDRO</v>
      </c>
      <c r="G764" s="1">
        <v>1140</v>
      </c>
      <c r="H764" s="2">
        <v>795</v>
      </c>
      <c r="I764" s="3" t="s">
        <v>7</v>
      </c>
      <c r="J764" s="4">
        <v>6</v>
      </c>
      <c r="K764" s="8">
        <f>IFERROR(VLOOKUP(I764, data!E:F, 2, FALSE), "Precio Unidad")</f>
        <v>113</v>
      </c>
      <c r="L764" s="9">
        <f t="shared" si="12"/>
        <v>678</v>
      </c>
    </row>
    <row r="765" spans="1:12" ht="15" customHeight="1" x14ac:dyDescent="0.2">
      <c r="A765" s="54">
        <v>46200</v>
      </c>
      <c r="F765" s="7" t="str">
        <f>IFERROR(VLOOKUP(G765, data!A:B, 2, FALSE), "Tienda")</f>
        <v>SC PLAZA SAN PEDRO</v>
      </c>
      <c r="G765" s="1">
        <v>1140</v>
      </c>
      <c r="H765" s="2">
        <v>795</v>
      </c>
      <c r="I765" s="3" t="s">
        <v>10</v>
      </c>
      <c r="J765" s="4">
        <v>8</v>
      </c>
      <c r="K765" s="8">
        <f>IFERROR(VLOOKUP(I765, data!E:F, 2, FALSE), "Precio Unidad")</f>
        <v>151</v>
      </c>
      <c r="L765" s="9">
        <f t="shared" si="12"/>
        <v>1208</v>
      </c>
    </row>
    <row r="766" spans="1:12" ht="15" customHeight="1" x14ac:dyDescent="0.2">
      <c r="A766" s="54">
        <v>46200</v>
      </c>
      <c r="F766" s="7" t="str">
        <f>IFERROR(VLOOKUP(G766, data!A:B, 2, FALSE), "Tienda")</f>
        <v>SC PLAZA SAN PEDRO</v>
      </c>
      <c r="G766" s="1">
        <v>1140</v>
      </c>
      <c r="H766" s="2">
        <v>795</v>
      </c>
      <c r="I766" s="3" t="s">
        <v>12</v>
      </c>
      <c r="J766" s="4">
        <v>10</v>
      </c>
      <c r="K766" s="8">
        <f>IFERROR(VLOOKUP(I766, data!E:F, 2, FALSE), "Precio Unidad")</f>
        <v>95</v>
      </c>
      <c r="L766" s="9">
        <f t="shared" si="12"/>
        <v>950</v>
      </c>
    </row>
    <row r="767" spans="1:12" ht="15" customHeight="1" x14ac:dyDescent="0.2">
      <c r="A767" s="54">
        <v>46200</v>
      </c>
      <c r="F767" s="7" t="str">
        <f>IFERROR(VLOOKUP(G767, data!A:B, 2, FALSE), "Tienda")</f>
        <v>SC PLAZA SAN PEDRO</v>
      </c>
      <c r="G767" s="1">
        <v>1140</v>
      </c>
      <c r="H767" s="2">
        <v>795</v>
      </c>
      <c r="I767" s="3" t="s">
        <v>13</v>
      </c>
      <c r="J767" s="4">
        <v>16</v>
      </c>
      <c r="K767" s="8">
        <f>IFERROR(VLOOKUP(I767, data!E:F, 2, FALSE), "Precio Unidad")</f>
        <v>63</v>
      </c>
      <c r="L767" s="9">
        <f t="shared" si="12"/>
        <v>1008</v>
      </c>
    </row>
    <row r="768" spans="1:12" ht="15" customHeight="1" x14ac:dyDescent="0.2">
      <c r="A768" s="54">
        <v>46200</v>
      </c>
      <c r="F768" s="7" t="str">
        <f>IFERROR(VLOOKUP(G768, data!A:B, 2, FALSE), "Tienda")</f>
        <v>SC MEXICALI NOVENA</v>
      </c>
      <c r="G768" s="1">
        <v>1617</v>
      </c>
      <c r="H768" s="2">
        <v>796</v>
      </c>
      <c r="I768" s="3" t="s">
        <v>6</v>
      </c>
      <c r="J768" s="4">
        <v>8</v>
      </c>
      <c r="K768" s="8">
        <f>IFERROR(VLOOKUP(I768, data!E:F, 2, FALSE), "Precio Unidad")</f>
        <v>167</v>
      </c>
      <c r="L768" s="9">
        <f t="shared" si="12"/>
        <v>1336</v>
      </c>
    </row>
    <row r="769" spans="1:12" ht="15" customHeight="1" x14ac:dyDescent="0.2">
      <c r="A769" s="54">
        <v>46200</v>
      </c>
      <c r="F769" s="7" t="str">
        <f>IFERROR(VLOOKUP(G769, data!A:B, 2, FALSE), "Tienda")</f>
        <v>SC MEXICALI NOVENA</v>
      </c>
      <c r="G769" s="1">
        <v>1617</v>
      </c>
      <c r="H769" s="2">
        <v>796</v>
      </c>
      <c r="I769" s="3" t="s">
        <v>7</v>
      </c>
      <c r="J769" s="4">
        <v>10</v>
      </c>
      <c r="K769" s="8">
        <f>IFERROR(VLOOKUP(I769, data!E:F, 2, FALSE), "Precio Unidad")</f>
        <v>113</v>
      </c>
      <c r="L769" s="9">
        <f t="shared" si="12"/>
        <v>1130</v>
      </c>
    </row>
    <row r="770" spans="1:12" ht="15" customHeight="1" x14ac:dyDescent="0.2">
      <c r="A770" s="54">
        <v>46200</v>
      </c>
      <c r="F770" s="7" t="str">
        <f>IFERROR(VLOOKUP(G770, data!A:B, 2, FALSE), "Tienda")</f>
        <v>SC MEXICALI NOVENA</v>
      </c>
      <c r="G770" s="1">
        <v>1617</v>
      </c>
      <c r="H770" s="2">
        <v>796</v>
      </c>
      <c r="I770" s="3" t="s">
        <v>10</v>
      </c>
      <c r="J770" s="4">
        <v>16</v>
      </c>
      <c r="K770" s="8">
        <f>IFERROR(VLOOKUP(I770, data!E:F, 2, FALSE), "Precio Unidad")</f>
        <v>151</v>
      </c>
      <c r="L770" s="9">
        <f t="shared" si="12"/>
        <v>2416</v>
      </c>
    </row>
    <row r="771" spans="1:12" ht="15" customHeight="1" x14ac:dyDescent="0.2">
      <c r="A771" s="54">
        <v>46200</v>
      </c>
      <c r="F771" s="7" t="str">
        <f>IFERROR(VLOOKUP(G771, data!A:B, 2, FALSE), "Tienda")</f>
        <v>SC MEXICALI NOVENA</v>
      </c>
      <c r="G771" s="1">
        <v>1617</v>
      </c>
      <c r="H771" s="2">
        <v>796</v>
      </c>
      <c r="I771" s="3" t="s">
        <v>11</v>
      </c>
      <c r="J771" s="4">
        <v>6</v>
      </c>
      <c r="K771" s="8">
        <f>IFERROR(VLOOKUP(I771, data!E:F, 2, FALSE), "Precio Unidad")</f>
        <v>177</v>
      </c>
      <c r="L771" s="9">
        <f t="shared" si="12"/>
        <v>1062</v>
      </c>
    </row>
    <row r="772" spans="1:12" ht="15" customHeight="1" x14ac:dyDescent="0.2">
      <c r="A772" s="54">
        <v>46200</v>
      </c>
      <c r="F772" s="7" t="str">
        <f>IFERROR(VLOOKUP(G772, data!A:B, 2, FALSE), "Tienda")</f>
        <v>SC MEXICALI NOVENA</v>
      </c>
      <c r="G772" s="1">
        <v>1617</v>
      </c>
      <c r="H772" s="2">
        <v>796</v>
      </c>
      <c r="I772" s="3" t="s">
        <v>12</v>
      </c>
      <c r="J772" s="4">
        <v>20</v>
      </c>
      <c r="K772" s="8">
        <f>IFERROR(VLOOKUP(I772, data!E:F, 2, FALSE), "Precio Unidad")</f>
        <v>95</v>
      </c>
      <c r="L772" s="9">
        <f t="shared" si="12"/>
        <v>1900</v>
      </c>
    </row>
    <row r="773" spans="1:12" ht="15" customHeight="1" x14ac:dyDescent="0.2">
      <c r="A773" s="54">
        <v>46200</v>
      </c>
      <c r="F773" s="7" t="str">
        <f>IFERROR(VLOOKUP(G773, data!A:B, 2, FALSE), "Tienda")</f>
        <v>SC MEXICALI NOVENA</v>
      </c>
      <c r="G773" s="1">
        <v>1617</v>
      </c>
      <c r="H773" s="2">
        <v>796</v>
      </c>
      <c r="I773" s="3" t="s">
        <v>13</v>
      </c>
      <c r="J773" s="4">
        <v>16</v>
      </c>
      <c r="K773" s="8">
        <f>IFERROR(VLOOKUP(I773, data!E:F, 2, FALSE), "Precio Unidad")</f>
        <v>63</v>
      </c>
      <c r="L773" s="9">
        <f t="shared" ref="L773:L836" si="13">K773*J773</f>
        <v>1008</v>
      </c>
    </row>
    <row r="774" spans="1:12" ht="15" customHeight="1" x14ac:dyDescent="0.2">
      <c r="A774" s="54">
        <v>46200</v>
      </c>
      <c r="F774" s="7" t="str">
        <f>IFERROR(VLOOKUP(G774, data!A:B, 2, FALSE), "Tienda")</f>
        <v>SC MEXICALI</v>
      </c>
      <c r="G774" s="1">
        <v>2304</v>
      </c>
      <c r="H774" s="2">
        <v>797</v>
      </c>
      <c r="I774" s="3" t="s">
        <v>6</v>
      </c>
      <c r="J774" s="4">
        <v>3</v>
      </c>
      <c r="K774" s="8">
        <f>IFERROR(VLOOKUP(I774, data!E:F, 2, FALSE), "Precio Unidad")</f>
        <v>167</v>
      </c>
      <c r="L774" s="9">
        <f t="shared" si="13"/>
        <v>501</v>
      </c>
    </row>
    <row r="775" spans="1:12" ht="15" customHeight="1" x14ac:dyDescent="0.2">
      <c r="A775" s="54">
        <v>46200</v>
      </c>
      <c r="F775" s="7" t="str">
        <f>IFERROR(VLOOKUP(G775, data!A:B, 2, FALSE), "Tienda")</f>
        <v>SC MEXICALI</v>
      </c>
      <c r="G775" s="1">
        <v>2304</v>
      </c>
      <c r="H775" s="2">
        <v>797</v>
      </c>
      <c r="I775" s="3" t="s">
        <v>7</v>
      </c>
      <c r="J775" s="4">
        <v>6</v>
      </c>
      <c r="K775" s="8">
        <f>IFERROR(VLOOKUP(I775, data!E:F, 2, FALSE), "Precio Unidad")</f>
        <v>113</v>
      </c>
      <c r="L775" s="9">
        <f t="shared" si="13"/>
        <v>678</v>
      </c>
    </row>
    <row r="776" spans="1:12" ht="15" customHeight="1" x14ac:dyDescent="0.2">
      <c r="A776" s="54">
        <v>46200</v>
      </c>
      <c r="F776" s="7" t="str">
        <f>IFERROR(VLOOKUP(G776, data!A:B, 2, FALSE), "Tienda")</f>
        <v>SC MEXICALI</v>
      </c>
      <c r="G776" s="1">
        <v>2304</v>
      </c>
      <c r="H776" s="2">
        <v>797</v>
      </c>
      <c r="I776" s="3" t="s">
        <v>10</v>
      </c>
      <c r="J776" s="4">
        <v>8</v>
      </c>
      <c r="K776" s="8">
        <f>IFERROR(VLOOKUP(I776, data!E:F, 2, FALSE), "Precio Unidad")</f>
        <v>151</v>
      </c>
      <c r="L776" s="9">
        <f t="shared" si="13"/>
        <v>1208</v>
      </c>
    </row>
    <row r="777" spans="1:12" ht="15" customHeight="1" x14ac:dyDescent="0.2">
      <c r="A777" s="54">
        <v>46200</v>
      </c>
      <c r="F777" s="7" t="str">
        <f>IFERROR(VLOOKUP(G777, data!A:B, 2, FALSE), "Tienda")</f>
        <v>SC MEXICALI</v>
      </c>
      <c r="G777" s="1">
        <v>2304</v>
      </c>
      <c r="H777" s="2">
        <v>797</v>
      </c>
      <c r="I777" s="3" t="s">
        <v>12</v>
      </c>
      <c r="J777" s="4">
        <v>10</v>
      </c>
      <c r="K777" s="8">
        <f>IFERROR(VLOOKUP(I777, data!E:F, 2, FALSE), "Precio Unidad")</f>
        <v>95</v>
      </c>
      <c r="L777" s="9">
        <f t="shared" si="13"/>
        <v>950</v>
      </c>
    </row>
    <row r="778" spans="1:12" ht="15" customHeight="1" x14ac:dyDescent="0.2">
      <c r="A778" s="54">
        <v>46200</v>
      </c>
      <c r="F778" s="7" t="str">
        <f>IFERROR(VLOOKUP(G778, data!A:B, 2, FALSE), "Tienda")</f>
        <v>SC MEXICALI</v>
      </c>
      <c r="G778" s="1">
        <v>2304</v>
      </c>
      <c r="H778" s="2">
        <v>797</v>
      </c>
      <c r="I778" s="3" t="s">
        <v>13</v>
      </c>
      <c r="J778" s="4">
        <v>16</v>
      </c>
      <c r="K778" s="8">
        <f>IFERROR(VLOOKUP(I778, data!E:F, 2, FALSE), "Precio Unidad")</f>
        <v>63</v>
      </c>
      <c r="L778" s="9">
        <f t="shared" si="13"/>
        <v>1008</v>
      </c>
    </row>
    <row r="779" spans="1:12" ht="15" customHeight="1" x14ac:dyDescent="0.2">
      <c r="A779" s="54">
        <v>46200</v>
      </c>
      <c r="F779" s="7" t="str">
        <f>IFERROR(VLOOKUP(G779, data!A:B, 2, FALSE), "Tienda")</f>
        <v>SC GALERIAS DEL VALLE</v>
      </c>
      <c r="G779" s="1">
        <v>4026</v>
      </c>
      <c r="H779" s="2">
        <v>798</v>
      </c>
      <c r="I779" s="3" t="s">
        <v>6</v>
      </c>
      <c r="J779" s="4">
        <v>4</v>
      </c>
      <c r="K779" s="8">
        <f>IFERROR(VLOOKUP(I779, data!E:F, 2, FALSE), "Precio Unidad")</f>
        <v>167</v>
      </c>
      <c r="L779" s="9">
        <f t="shared" si="13"/>
        <v>668</v>
      </c>
    </row>
    <row r="780" spans="1:12" ht="15" customHeight="1" x14ac:dyDescent="0.2">
      <c r="A780" s="54">
        <v>46200</v>
      </c>
      <c r="F780" s="7" t="str">
        <f>IFERROR(VLOOKUP(G780, data!A:B, 2, FALSE), "Tienda")</f>
        <v>SC GALERIAS DEL VALLE</v>
      </c>
      <c r="G780" s="1">
        <v>4026</v>
      </c>
      <c r="H780" s="2">
        <v>798</v>
      </c>
      <c r="I780" s="3" t="s">
        <v>7</v>
      </c>
      <c r="J780" s="4">
        <v>6</v>
      </c>
      <c r="K780" s="8">
        <f>IFERROR(VLOOKUP(I780, data!E:F, 2, FALSE), "Precio Unidad")</f>
        <v>113</v>
      </c>
      <c r="L780" s="9">
        <f t="shared" si="13"/>
        <v>678</v>
      </c>
    </row>
    <row r="781" spans="1:12" ht="15" customHeight="1" x14ac:dyDescent="0.2">
      <c r="A781" s="54">
        <v>46200</v>
      </c>
      <c r="F781" s="7" t="str">
        <f>IFERROR(VLOOKUP(G781, data!A:B, 2, FALSE), "Tienda")</f>
        <v>SC GALERIAS DEL VALLE</v>
      </c>
      <c r="G781" s="1">
        <v>4026</v>
      </c>
      <c r="H781" s="2">
        <v>798</v>
      </c>
      <c r="I781" s="3" t="s">
        <v>10</v>
      </c>
      <c r="J781" s="4">
        <v>8</v>
      </c>
      <c r="K781" s="8">
        <f>IFERROR(VLOOKUP(I781, data!E:F, 2, FALSE), "Precio Unidad")</f>
        <v>151</v>
      </c>
      <c r="L781" s="9">
        <f t="shared" si="13"/>
        <v>1208</v>
      </c>
    </row>
    <row r="782" spans="1:12" ht="15" customHeight="1" x14ac:dyDescent="0.2">
      <c r="A782" s="54">
        <v>46200</v>
      </c>
      <c r="F782" s="7" t="str">
        <f>IFERROR(VLOOKUP(G782, data!A:B, 2, FALSE), "Tienda")</f>
        <v>SC GALERIAS DEL VALLE</v>
      </c>
      <c r="G782" s="1">
        <v>4026</v>
      </c>
      <c r="H782" s="2">
        <v>798</v>
      </c>
      <c r="I782" s="3" t="s">
        <v>12</v>
      </c>
      <c r="J782" s="4">
        <v>20</v>
      </c>
      <c r="K782" s="8">
        <f>IFERROR(VLOOKUP(I782, data!E:F, 2, FALSE), "Precio Unidad")</f>
        <v>95</v>
      </c>
      <c r="L782" s="9">
        <f t="shared" si="13"/>
        <v>1900</v>
      </c>
    </row>
    <row r="783" spans="1:12" ht="15" customHeight="1" x14ac:dyDescent="0.2">
      <c r="A783" s="54">
        <v>46200</v>
      </c>
      <c r="F783" s="7" t="str">
        <f>IFERROR(VLOOKUP(G783, data!A:B, 2, FALSE), "Tienda")</f>
        <v>SC GALERIAS DEL VALLE</v>
      </c>
      <c r="G783" s="1">
        <v>4026</v>
      </c>
      <c r="H783" s="2">
        <v>798</v>
      </c>
      <c r="I783" s="3" t="s">
        <v>13</v>
      </c>
      <c r="J783" s="4">
        <v>8</v>
      </c>
      <c r="K783" s="8">
        <f>IFERROR(VLOOKUP(I783, data!E:F, 2, FALSE), "Precio Unidad")</f>
        <v>63</v>
      </c>
      <c r="L783" s="9">
        <f t="shared" si="13"/>
        <v>504</v>
      </c>
    </row>
    <row r="784" spans="1:12" ht="15" customHeight="1" x14ac:dyDescent="0.2">
      <c r="A784" s="54">
        <v>46200</v>
      </c>
      <c r="F784" s="7" t="str">
        <f>IFERROR(VLOOKUP(G784, data!A:B, 2, FALSE), "Tienda")</f>
        <v>SC NUEVO MEXICALI</v>
      </c>
      <c r="G784" s="1">
        <v>5041</v>
      </c>
      <c r="H784" s="2">
        <v>799</v>
      </c>
      <c r="I784" s="3" t="s">
        <v>6</v>
      </c>
      <c r="J784" s="4">
        <v>8</v>
      </c>
      <c r="K784" s="8">
        <f>IFERROR(VLOOKUP(I784, data!E:F, 2, FALSE), "Precio Unidad")</f>
        <v>167</v>
      </c>
      <c r="L784" s="9">
        <f t="shared" si="13"/>
        <v>1336</v>
      </c>
    </row>
    <row r="785" spans="1:12" ht="15" customHeight="1" x14ac:dyDescent="0.2">
      <c r="A785" s="54">
        <v>46200</v>
      </c>
      <c r="F785" s="7" t="str">
        <f>IFERROR(VLOOKUP(G785, data!A:B, 2, FALSE), "Tienda")</f>
        <v>SC NUEVO MEXICALI</v>
      </c>
      <c r="G785" s="1">
        <v>5041</v>
      </c>
      <c r="H785" s="2">
        <v>799</v>
      </c>
      <c r="I785" s="3" t="s">
        <v>7</v>
      </c>
      <c r="J785" s="4">
        <v>10</v>
      </c>
      <c r="K785" s="8">
        <f>IFERROR(VLOOKUP(I785, data!E:F, 2, FALSE), "Precio Unidad")</f>
        <v>113</v>
      </c>
      <c r="L785" s="9">
        <f t="shared" si="13"/>
        <v>1130</v>
      </c>
    </row>
    <row r="786" spans="1:12" ht="15" customHeight="1" x14ac:dyDescent="0.2">
      <c r="A786" s="54">
        <v>46200</v>
      </c>
      <c r="F786" s="7" t="str">
        <f>IFERROR(VLOOKUP(G786, data!A:B, 2, FALSE), "Tienda")</f>
        <v>SC NUEVO MEXICALI</v>
      </c>
      <c r="G786" s="1">
        <v>5041</v>
      </c>
      <c r="H786" s="2">
        <v>799</v>
      </c>
      <c r="I786" s="3" t="s">
        <v>10</v>
      </c>
      <c r="J786" s="4">
        <v>8</v>
      </c>
      <c r="K786" s="8">
        <f>IFERROR(VLOOKUP(I786, data!E:F, 2, FALSE), "Precio Unidad")</f>
        <v>151</v>
      </c>
      <c r="L786" s="9">
        <f t="shared" si="13"/>
        <v>1208</v>
      </c>
    </row>
    <row r="787" spans="1:12" ht="15" customHeight="1" x14ac:dyDescent="0.2">
      <c r="A787" s="54">
        <v>46200</v>
      </c>
      <c r="F787" s="7" t="str">
        <f>IFERROR(VLOOKUP(G787, data!A:B, 2, FALSE), "Tienda")</f>
        <v>SC NUEVO MEXICALI</v>
      </c>
      <c r="G787" s="1">
        <v>5041</v>
      </c>
      <c r="H787" s="2">
        <v>799</v>
      </c>
      <c r="I787" s="3" t="s">
        <v>12</v>
      </c>
      <c r="J787" s="4">
        <v>20</v>
      </c>
      <c r="K787" s="8">
        <f>IFERROR(VLOOKUP(I787, data!E:F, 2, FALSE), "Precio Unidad")</f>
        <v>95</v>
      </c>
      <c r="L787" s="9">
        <f t="shared" si="13"/>
        <v>1900</v>
      </c>
    </row>
    <row r="788" spans="1:12" ht="15" customHeight="1" x14ac:dyDescent="0.2">
      <c r="A788" s="54">
        <v>46200</v>
      </c>
      <c r="F788" s="7" t="str">
        <f>IFERROR(VLOOKUP(G788, data!A:B, 2, FALSE), "Tienda")</f>
        <v>SC NUEVO MEXICALI</v>
      </c>
      <c r="G788" s="1">
        <v>5041</v>
      </c>
      <c r="H788" s="2">
        <v>799</v>
      </c>
      <c r="I788" s="3" t="s">
        <v>13</v>
      </c>
      <c r="J788" s="4">
        <v>24</v>
      </c>
      <c r="K788" s="8">
        <f>IFERROR(VLOOKUP(I788, data!E:F, 2, FALSE), "Precio Unidad")</f>
        <v>63</v>
      </c>
      <c r="L788" s="9">
        <f t="shared" si="13"/>
        <v>1512</v>
      </c>
    </row>
    <row r="789" spans="1:12" ht="15" customHeight="1" x14ac:dyDescent="0.2">
      <c r="A789" s="54">
        <v>46202</v>
      </c>
      <c r="F789" s="7" t="str">
        <f>IFERROR(VLOOKUP(G789, data!A:B, 2, FALSE), "Tienda")</f>
        <v>SC TECATE GARITA</v>
      </c>
      <c r="G789" s="1">
        <v>5295</v>
      </c>
      <c r="H789" s="2">
        <v>800</v>
      </c>
      <c r="I789" s="3" t="s">
        <v>7</v>
      </c>
      <c r="J789" s="4">
        <v>10</v>
      </c>
      <c r="K789" s="8">
        <f>IFERROR(VLOOKUP(I789, data!E:F, 2, FALSE), "Precio Unidad")</f>
        <v>113</v>
      </c>
      <c r="L789" s="9">
        <f t="shared" si="13"/>
        <v>1130</v>
      </c>
    </row>
    <row r="790" spans="1:12" ht="15" customHeight="1" x14ac:dyDescent="0.2">
      <c r="A790" s="54">
        <v>46202</v>
      </c>
      <c r="F790" s="7" t="str">
        <f>IFERROR(VLOOKUP(G790, data!A:B, 2, FALSE), "Tienda")</f>
        <v>SC TECATE GARITA</v>
      </c>
      <c r="G790" s="1">
        <v>5295</v>
      </c>
      <c r="H790" s="2">
        <v>800</v>
      </c>
      <c r="I790" s="3" t="s">
        <v>10</v>
      </c>
      <c r="J790" s="4">
        <v>7</v>
      </c>
      <c r="K790" s="8">
        <f>IFERROR(VLOOKUP(I790, data!E:F, 2, FALSE), "Precio Unidad")</f>
        <v>151</v>
      </c>
      <c r="L790" s="9">
        <f t="shared" si="13"/>
        <v>1057</v>
      </c>
    </row>
    <row r="791" spans="1:12" ht="15" customHeight="1" x14ac:dyDescent="0.2">
      <c r="A791" s="54">
        <v>46202</v>
      </c>
      <c r="F791" s="7" t="str">
        <f>IFERROR(VLOOKUP(G791, data!A:B, 2, FALSE), "Tienda")</f>
        <v>SC TECATE GARITA</v>
      </c>
      <c r="G791" s="1">
        <v>5295</v>
      </c>
      <c r="H791" s="2">
        <v>800</v>
      </c>
      <c r="I791" s="3" t="s">
        <v>12</v>
      </c>
      <c r="J791" s="4">
        <v>10</v>
      </c>
      <c r="K791" s="8">
        <f>IFERROR(VLOOKUP(I791, data!E:F, 2, FALSE), "Precio Unidad")</f>
        <v>95</v>
      </c>
      <c r="L791" s="9">
        <f t="shared" si="13"/>
        <v>950</v>
      </c>
    </row>
    <row r="792" spans="1:12" ht="15" customHeight="1" x14ac:dyDescent="0.2">
      <c r="A792" s="54">
        <v>46202</v>
      </c>
      <c r="F792" s="7" t="str">
        <f>IFERROR(VLOOKUP(G792, data!A:B, 2, FALSE), "Tienda")</f>
        <v>SC TECATE GARITA</v>
      </c>
      <c r="G792" s="1">
        <v>5295</v>
      </c>
      <c r="H792" s="2">
        <v>800</v>
      </c>
      <c r="I792" s="3" t="s">
        <v>13</v>
      </c>
      <c r="J792" s="4">
        <v>16</v>
      </c>
      <c r="K792" s="8">
        <f>IFERROR(VLOOKUP(I792, data!E:F, 2, FALSE), "Precio Unidad")</f>
        <v>63</v>
      </c>
      <c r="L792" s="9">
        <f t="shared" si="13"/>
        <v>1008</v>
      </c>
    </row>
    <row r="793" spans="1:12" ht="15" customHeight="1" x14ac:dyDescent="0.2">
      <c r="A793" s="54">
        <v>46202</v>
      </c>
      <c r="F793" s="7" t="str">
        <f>IFERROR(VLOOKUP(G793, data!A:B, 2, FALSE), "Tienda")</f>
        <v>SC ROSARITO</v>
      </c>
      <c r="G793" s="1">
        <v>4187</v>
      </c>
      <c r="H793" s="2">
        <v>801</v>
      </c>
      <c r="I793" s="3" t="s">
        <v>6</v>
      </c>
      <c r="J793" s="4">
        <v>4</v>
      </c>
      <c r="K793" s="8">
        <f>IFERROR(VLOOKUP(I793, data!E:F, 2, FALSE), "Precio Unidad")</f>
        <v>167</v>
      </c>
      <c r="L793" s="9">
        <f t="shared" si="13"/>
        <v>668</v>
      </c>
    </row>
    <row r="794" spans="1:12" ht="15" customHeight="1" x14ac:dyDescent="0.2">
      <c r="A794" s="54">
        <v>46202</v>
      </c>
      <c r="F794" s="7" t="str">
        <f>IFERROR(VLOOKUP(G794, data!A:B, 2, FALSE), "Tienda")</f>
        <v>SC ROSARITO</v>
      </c>
      <c r="G794" s="1">
        <v>4187</v>
      </c>
      <c r="H794" s="2">
        <v>801</v>
      </c>
      <c r="I794" s="3" t="s">
        <v>7</v>
      </c>
      <c r="J794" s="4">
        <v>6</v>
      </c>
      <c r="K794" s="8">
        <f>IFERROR(VLOOKUP(I794, data!E:F, 2, FALSE), "Precio Unidad")</f>
        <v>113</v>
      </c>
      <c r="L794" s="9">
        <f t="shared" si="13"/>
        <v>678</v>
      </c>
    </row>
    <row r="795" spans="1:12" ht="15" customHeight="1" x14ac:dyDescent="0.2">
      <c r="A795" s="54">
        <v>46202</v>
      </c>
      <c r="F795" s="7" t="str">
        <f>IFERROR(VLOOKUP(G795, data!A:B, 2, FALSE), "Tienda")</f>
        <v>SC ROSARITO</v>
      </c>
      <c r="G795" s="1">
        <v>4187</v>
      </c>
      <c r="H795" s="2">
        <v>801</v>
      </c>
      <c r="I795" s="3" t="s">
        <v>10</v>
      </c>
      <c r="J795" s="4">
        <v>8</v>
      </c>
      <c r="K795" s="8">
        <f>IFERROR(VLOOKUP(I795, data!E:F, 2, FALSE), "Precio Unidad")</f>
        <v>151</v>
      </c>
      <c r="L795" s="9">
        <f t="shared" si="13"/>
        <v>1208</v>
      </c>
    </row>
    <row r="796" spans="1:12" ht="15" customHeight="1" x14ac:dyDescent="0.2">
      <c r="A796" s="54">
        <v>46202</v>
      </c>
      <c r="F796" s="7" t="str">
        <f>IFERROR(VLOOKUP(G796, data!A:B, 2, FALSE), "Tienda")</f>
        <v>SC ROSARITO</v>
      </c>
      <c r="G796" s="1">
        <v>4187</v>
      </c>
      <c r="H796" s="2">
        <v>801</v>
      </c>
      <c r="I796" s="3" t="s">
        <v>12</v>
      </c>
      <c r="J796" s="4">
        <v>10</v>
      </c>
      <c r="K796" s="8">
        <f>IFERROR(VLOOKUP(I796, data!E:F, 2, FALSE), "Precio Unidad")</f>
        <v>95</v>
      </c>
      <c r="L796" s="9">
        <f t="shared" si="13"/>
        <v>950</v>
      </c>
    </row>
    <row r="797" spans="1:12" ht="15" customHeight="1" x14ac:dyDescent="0.2">
      <c r="A797" s="54">
        <v>46202</v>
      </c>
      <c r="F797" s="7" t="str">
        <f>IFERROR(VLOOKUP(G797, data!A:B, 2, FALSE), "Tienda")</f>
        <v>SC ROSARITO</v>
      </c>
      <c r="G797" s="1">
        <v>4187</v>
      </c>
      <c r="H797" s="2">
        <v>801</v>
      </c>
      <c r="I797" s="3" t="s">
        <v>13</v>
      </c>
      <c r="J797" s="4">
        <v>16</v>
      </c>
      <c r="K797" s="8">
        <f>IFERROR(VLOOKUP(I797, data!E:F, 2, FALSE), "Precio Unidad")</f>
        <v>63</v>
      </c>
      <c r="L797" s="9">
        <f t="shared" si="13"/>
        <v>1008</v>
      </c>
    </row>
    <row r="798" spans="1:12" ht="15" customHeight="1" x14ac:dyDescent="0.2">
      <c r="A798" s="54">
        <v>46202</v>
      </c>
      <c r="F798" s="7" t="str">
        <f>IFERROR(VLOOKUP(G798, data!A:B, 2, FALSE), "Tienda")</f>
        <v>SC TIJUANA 2000</v>
      </c>
      <c r="G798" s="1">
        <v>4155</v>
      </c>
      <c r="H798" s="2">
        <v>802</v>
      </c>
      <c r="I798" s="3" t="s">
        <v>7</v>
      </c>
      <c r="J798" s="4">
        <v>10</v>
      </c>
      <c r="K798" s="8">
        <f>IFERROR(VLOOKUP(I798, data!E:F, 2, FALSE), "Precio Unidad")</f>
        <v>113</v>
      </c>
      <c r="L798" s="9">
        <f t="shared" si="13"/>
        <v>1130</v>
      </c>
    </row>
    <row r="799" spans="1:12" ht="15" customHeight="1" x14ac:dyDescent="0.2">
      <c r="A799" s="54">
        <v>46202</v>
      </c>
      <c r="F799" s="7" t="str">
        <f>IFERROR(VLOOKUP(G799, data!A:B, 2, FALSE), "Tienda")</f>
        <v>SC TIJUANA 2000</v>
      </c>
      <c r="G799" s="1">
        <v>4155</v>
      </c>
      <c r="H799" s="2">
        <v>802</v>
      </c>
      <c r="I799" s="3" t="s">
        <v>10</v>
      </c>
      <c r="J799" s="4">
        <v>8</v>
      </c>
      <c r="K799" s="8">
        <f>IFERROR(VLOOKUP(I799, data!E:F, 2, FALSE), "Precio Unidad")</f>
        <v>151</v>
      </c>
      <c r="L799" s="9">
        <f t="shared" si="13"/>
        <v>1208</v>
      </c>
    </row>
    <row r="800" spans="1:12" ht="15" customHeight="1" x14ac:dyDescent="0.2">
      <c r="A800" s="54">
        <v>46202</v>
      </c>
      <c r="F800" s="7" t="str">
        <f>IFERROR(VLOOKUP(G800, data!A:B, 2, FALSE), "Tienda")</f>
        <v>SC TIJUANA 2000</v>
      </c>
      <c r="G800" s="1">
        <v>4155</v>
      </c>
      <c r="H800" s="2">
        <v>802</v>
      </c>
      <c r="I800" s="3" t="s">
        <v>13</v>
      </c>
      <c r="J800" s="4">
        <v>16</v>
      </c>
      <c r="K800" s="8">
        <f>IFERROR(VLOOKUP(I800, data!E:F, 2, FALSE), "Precio Unidad")</f>
        <v>63</v>
      </c>
      <c r="L800" s="9">
        <f t="shared" si="13"/>
        <v>1008</v>
      </c>
    </row>
    <row r="801" spans="1:12" ht="15" customHeight="1" x14ac:dyDescent="0.2">
      <c r="A801" s="54">
        <v>46202</v>
      </c>
      <c r="F801" s="7" t="str">
        <f>IFERROR(VLOOKUP(G801, data!A:B, 2, FALSE), "Tienda")</f>
        <v>SC TIJUANA HIPODROMO</v>
      </c>
      <c r="G801" s="1">
        <v>4011</v>
      </c>
      <c r="H801" s="2">
        <v>803</v>
      </c>
      <c r="I801" s="3" t="s">
        <v>10</v>
      </c>
      <c r="J801" s="4">
        <v>8</v>
      </c>
      <c r="K801" s="8">
        <f>IFERROR(VLOOKUP(I801, data!E:F, 2, FALSE), "Precio Unidad")</f>
        <v>151</v>
      </c>
      <c r="L801" s="9">
        <f t="shared" si="13"/>
        <v>1208</v>
      </c>
    </row>
    <row r="802" spans="1:12" ht="15" customHeight="1" x14ac:dyDescent="0.2">
      <c r="A802" s="54">
        <v>46202</v>
      </c>
      <c r="F802" s="7" t="str">
        <f>IFERROR(VLOOKUP(G802, data!A:B, 2, FALSE), "Tienda")</f>
        <v>SC TIJUANA HIPODROMO</v>
      </c>
      <c r="G802" s="1">
        <v>4011</v>
      </c>
      <c r="H802" s="2">
        <v>803</v>
      </c>
      <c r="I802" s="3" t="s">
        <v>12</v>
      </c>
      <c r="J802" s="4">
        <v>10</v>
      </c>
      <c r="K802" s="8">
        <f>IFERROR(VLOOKUP(I802, data!E:F, 2, FALSE), "Precio Unidad")</f>
        <v>95</v>
      </c>
      <c r="L802" s="9">
        <f t="shared" si="13"/>
        <v>950</v>
      </c>
    </row>
    <row r="803" spans="1:12" ht="15" customHeight="1" x14ac:dyDescent="0.2">
      <c r="A803" s="54">
        <v>46202</v>
      </c>
      <c r="F803" s="7" t="str">
        <f>IFERROR(VLOOKUP(G803, data!A:B, 2, FALSE), "Tienda")</f>
        <v>SC TIJUANA HIPODROMO</v>
      </c>
      <c r="G803" s="1">
        <v>4011</v>
      </c>
      <c r="H803" s="2">
        <v>803</v>
      </c>
      <c r="I803" s="3" t="s">
        <v>13</v>
      </c>
      <c r="J803" s="4">
        <v>16</v>
      </c>
      <c r="K803" s="8">
        <f>IFERROR(VLOOKUP(I803, data!E:F, 2, FALSE), "Precio Unidad")</f>
        <v>63</v>
      </c>
      <c r="L803" s="9">
        <f t="shared" si="13"/>
        <v>1008</v>
      </c>
    </row>
    <row r="804" spans="1:12" ht="15" customHeight="1" x14ac:dyDescent="0.2">
      <c r="A804" s="54">
        <v>46202</v>
      </c>
      <c r="F804" s="7" t="str">
        <f>IFERROR(VLOOKUP(G804, data!A:B, 2, FALSE), "Tienda")</f>
        <v>SC DIAZ ORDAZ</v>
      </c>
      <c r="G804" s="1">
        <v>3664</v>
      </c>
      <c r="H804" s="2">
        <v>804</v>
      </c>
      <c r="I804" s="3" t="s">
        <v>12</v>
      </c>
      <c r="J804" s="4">
        <v>10</v>
      </c>
      <c r="K804" s="8">
        <f>IFERROR(VLOOKUP(I804, data!E:F, 2, FALSE), "Precio Unidad")</f>
        <v>95</v>
      </c>
      <c r="L804" s="9">
        <f t="shared" si="13"/>
        <v>950</v>
      </c>
    </row>
    <row r="805" spans="1:12" ht="15" customHeight="1" x14ac:dyDescent="0.2">
      <c r="A805" s="54">
        <v>46202</v>
      </c>
      <c r="F805" s="7" t="str">
        <f>IFERROR(VLOOKUP(G805, data!A:B, 2, FALSE), "Tienda")</f>
        <v>SC DIAZ ORDAZ</v>
      </c>
      <c r="G805" s="1">
        <v>3664</v>
      </c>
      <c r="H805" s="2">
        <v>804</v>
      </c>
      <c r="I805" s="3" t="s">
        <v>13</v>
      </c>
      <c r="J805" s="4">
        <v>16</v>
      </c>
      <c r="K805" s="8">
        <f>IFERROR(VLOOKUP(I805, data!E:F, 2, FALSE), "Precio Unidad")</f>
        <v>63</v>
      </c>
      <c r="L805" s="9">
        <f t="shared" si="13"/>
        <v>1008</v>
      </c>
    </row>
    <row r="806" spans="1:12" ht="15" customHeight="1" x14ac:dyDescent="0.2">
      <c r="A806" s="54">
        <v>46202</v>
      </c>
      <c r="F806" s="7" t="str">
        <f>IFERROR(VLOOKUP(G806, data!A:B, 2, FALSE), "Tienda")</f>
        <v>SC MACROPLAZA INSURGENTES</v>
      </c>
      <c r="G806" s="1">
        <v>2023</v>
      </c>
      <c r="H806" s="2">
        <v>805</v>
      </c>
      <c r="I806" s="3" t="s">
        <v>10</v>
      </c>
      <c r="J806" s="4">
        <v>8</v>
      </c>
      <c r="K806" s="8">
        <f>IFERROR(VLOOKUP(I806, data!E:F, 2, FALSE), "Precio Unidad")</f>
        <v>151</v>
      </c>
      <c r="L806" s="9">
        <f t="shared" si="13"/>
        <v>1208</v>
      </c>
    </row>
    <row r="807" spans="1:12" ht="15" customHeight="1" x14ac:dyDescent="0.2">
      <c r="A807" s="54">
        <v>46202</v>
      </c>
      <c r="F807" s="7" t="str">
        <f>IFERROR(VLOOKUP(G807, data!A:B, 2, FALSE), "Tienda")</f>
        <v>SC MACROPLAZA INSURGENTES</v>
      </c>
      <c r="G807" s="1">
        <v>2023</v>
      </c>
      <c r="H807" s="2">
        <v>805</v>
      </c>
      <c r="I807" s="3" t="s">
        <v>12</v>
      </c>
      <c r="J807" s="4">
        <v>10</v>
      </c>
      <c r="K807" s="8">
        <f>IFERROR(VLOOKUP(I807, data!E:F, 2, FALSE), "Precio Unidad")</f>
        <v>95</v>
      </c>
      <c r="L807" s="9">
        <f t="shared" si="13"/>
        <v>950</v>
      </c>
    </row>
    <row r="808" spans="1:12" ht="15" customHeight="1" x14ac:dyDescent="0.2">
      <c r="A808" s="54">
        <v>46202</v>
      </c>
      <c r="F808" s="7" t="str">
        <f>IFERROR(VLOOKUP(G808, data!A:B, 2, FALSE), "Tienda")</f>
        <v>SC MACROPLAZA INSURGENTES</v>
      </c>
      <c r="G808" s="1">
        <v>2023</v>
      </c>
      <c r="H808" s="2">
        <v>805</v>
      </c>
      <c r="I808" s="3" t="s">
        <v>13</v>
      </c>
      <c r="J808" s="4">
        <v>16</v>
      </c>
      <c r="K808" s="8">
        <f>IFERROR(VLOOKUP(I808, data!E:F, 2, FALSE), "Precio Unidad")</f>
        <v>63</v>
      </c>
      <c r="L808" s="9">
        <f t="shared" si="13"/>
        <v>1008</v>
      </c>
    </row>
    <row r="809" spans="1:12" ht="15" customHeight="1" x14ac:dyDescent="0.2">
      <c r="A809" s="54">
        <v>46202</v>
      </c>
      <c r="F809" s="7" t="str">
        <f>IFERROR(VLOOKUP(G809, data!A:B, 2, FALSE), "Tienda")</f>
        <v>SC LOMAS DE SANTA FE</v>
      </c>
      <c r="G809" s="1">
        <v>190</v>
      </c>
      <c r="H809" s="2">
        <v>806</v>
      </c>
      <c r="I809" s="3" t="s">
        <v>7</v>
      </c>
      <c r="J809" s="4">
        <v>10</v>
      </c>
      <c r="K809" s="8">
        <f>IFERROR(VLOOKUP(I809, data!E:F, 2, FALSE), "Precio Unidad")</f>
        <v>113</v>
      </c>
      <c r="L809" s="9">
        <f t="shared" si="13"/>
        <v>1130</v>
      </c>
    </row>
    <row r="810" spans="1:12" ht="15" customHeight="1" x14ac:dyDescent="0.2">
      <c r="A810" s="54">
        <v>46202</v>
      </c>
      <c r="F810" s="7" t="str">
        <f>IFERROR(VLOOKUP(G810, data!A:B, 2, FALSE), "Tienda")</f>
        <v>SC LOMAS DE SANTA FE</v>
      </c>
      <c r="G810" s="1">
        <v>190</v>
      </c>
      <c r="H810" s="2">
        <v>806</v>
      </c>
      <c r="I810" s="3" t="s">
        <v>10</v>
      </c>
      <c r="J810" s="4">
        <v>8</v>
      </c>
      <c r="K810" s="8">
        <f>IFERROR(VLOOKUP(I810, data!E:F, 2, FALSE), "Precio Unidad")</f>
        <v>151</v>
      </c>
      <c r="L810" s="9">
        <f t="shared" si="13"/>
        <v>1208</v>
      </c>
    </row>
    <row r="811" spans="1:12" ht="15" customHeight="1" x14ac:dyDescent="0.2">
      <c r="A811" s="54">
        <v>46202</v>
      </c>
      <c r="F811" s="7" t="str">
        <f>IFERROR(VLOOKUP(G811, data!A:B, 2, FALSE), "Tienda")</f>
        <v>SC LOMAS DE SANTA FE</v>
      </c>
      <c r="G811" s="1">
        <v>190</v>
      </c>
      <c r="H811" s="2">
        <v>806</v>
      </c>
      <c r="I811" s="3" t="s">
        <v>12</v>
      </c>
      <c r="J811" s="4">
        <v>10</v>
      </c>
      <c r="K811" s="8">
        <f>IFERROR(VLOOKUP(I811, data!E:F, 2, FALSE), "Precio Unidad")</f>
        <v>95</v>
      </c>
      <c r="L811" s="9">
        <f t="shared" si="13"/>
        <v>950</v>
      </c>
    </row>
    <row r="812" spans="1:12" ht="15" customHeight="1" x14ac:dyDescent="0.2">
      <c r="A812" s="54">
        <v>46202</v>
      </c>
      <c r="F812" s="7" t="str">
        <f>IFERROR(VLOOKUP(G812, data!A:B, 2, FALSE), "Tienda")</f>
        <v>SC LOMAS DE SANTA FE</v>
      </c>
      <c r="G812" s="1">
        <v>190</v>
      </c>
      <c r="H812" s="2">
        <v>806</v>
      </c>
      <c r="I812" s="3" t="s">
        <v>13</v>
      </c>
      <c r="J812" s="4">
        <v>16</v>
      </c>
      <c r="K812" s="8">
        <f>IFERROR(VLOOKUP(I812, data!E:F, 2, FALSE), "Precio Unidad")</f>
        <v>63</v>
      </c>
      <c r="L812" s="9">
        <f t="shared" si="13"/>
        <v>1008</v>
      </c>
    </row>
    <row r="813" spans="1:12" ht="15" customHeight="1" x14ac:dyDescent="0.2">
      <c r="A813" s="54">
        <v>46202</v>
      </c>
      <c r="F813" s="7" t="str">
        <f>IFERROR(VLOOKUP(G813, data!A:B, 2, FALSE), "Tienda")</f>
        <v>SC PACIFICO</v>
      </c>
      <c r="G813" s="1">
        <v>1616</v>
      </c>
      <c r="H813" s="2">
        <v>807</v>
      </c>
      <c r="I813" s="3" t="s">
        <v>10</v>
      </c>
      <c r="J813" s="4">
        <v>8</v>
      </c>
      <c r="K813" s="8">
        <f>IFERROR(VLOOKUP(I813, data!E:F, 2, FALSE), "Precio Unidad")</f>
        <v>151</v>
      </c>
      <c r="L813" s="9">
        <f t="shared" si="13"/>
        <v>1208</v>
      </c>
    </row>
    <row r="814" spans="1:12" ht="15" customHeight="1" x14ac:dyDescent="0.2">
      <c r="A814" s="54">
        <v>46202</v>
      </c>
      <c r="F814" s="7" t="str">
        <f>IFERROR(VLOOKUP(G814, data!A:B, 2, FALSE), "Tienda")</f>
        <v>SC PACIFICO</v>
      </c>
      <c r="G814" s="1">
        <v>1616</v>
      </c>
      <c r="H814" s="2">
        <v>807</v>
      </c>
      <c r="I814" s="3" t="s">
        <v>13</v>
      </c>
      <c r="J814" s="4">
        <v>16</v>
      </c>
      <c r="K814" s="8">
        <f>IFERROR(VLOOKUP(I814, data!E:F, 2, FALSE), "Precio Unidad")</f>
        <v>63</v>
      </c>
      <c r="L814" s="9">
        <f t="shared" si="13"/>
        <v>1008</v>
      </c>
    </row>
    <row r="815" spans="1:12" ht="15" customHeight="1" x14ac:dyDescent="0.2">
      <c r="A815" s="54">
        <v>46202</v>
      </c>
      <c r="F815" s="7" t="str">
        <f>IFERROR(VLOOKUP(G815, data!A:B, 2, FALSE), "Tienda")</f>
        <v>SC PLAYAS DE TIJUANA</v>
      </c>
      <c r="G815" s="1">
        <v>1613</v>
      </c>
      <c r="H815" s="2">
        <v>808</v>
      </c>
      <c r="I815" s="3" t="s">
        <v>6</v>
      </c>
      <c r="J815" s="4">
        <v>8</v>
      </c>
      <c r="K815" s="8">
        <f>IFERROR(VLOOKUP(I815, data!E:F, 2, FALSE), "Precio Unidad")</f>
        <v>167</v>
      </c>
      <c r="L815" s="9">
        <f t="shared" si="13"/>
        <v>1336</v>
      </c>
    </row>
    <row r="816" spans="1:12" ht="15" customHeight="1" x14ac:dyDescent="0.2">
      <c r="A816" s="54">
        <v>46202</v>
      </c>
      <c r="F816" s="7" t="str">
        <f>IFERROR(VLOOKUP(G816, data!A:B, 2, FALSE), "Tienda")</f>
        <v>SC PLAYAS DE TIJUANA</v>
      </c>
      <c r="G816" s="1">
        <v>1613</v>
      </c>
      <c r="H816" s="2">
        <v>808</v>
      </c>
      <c r="I816" s="3" t="s">
        <v>10</v>
      </c>
      <c r="J816" s="4">
        <v>8</v>
      </c>
      <c r="K816" s="8">
        <f>IFERROR(VLOOKUP(I816, data!E:F, 2, FALSE), "Precio Unidad")</f>
        <v>151</v>
      </c>
      <c r="L816" s="9">
        <f t="shared" si="13"/>
        <v>1208</v>
      </c>
    </row>
    <row r="817" spans="1:12" ht="15" customHeight="1" x14ac:dyDescent="0.2">
      <c r="A817" s="54">
        <v>46202</v>
      </c>
      <c r="F817" s="7" t="str">
        <f>IFERROR(VLOOKUP(G817, data!A:B, 2, FALSE), "Tienda")</f>
        <v>SC PLAYAS DE TIJUANA</v>
      </c>
      <c r="G817" s="1">
        <v>1613</v>
      </c>
      <c r="H817" s="2">
        <v>808</v>
      </c>
      <c r="I817" s="3" t="s">
        <v>13</v>
      </c>
      <c r="J817" s="4">
        <v>16</v>
      </c>
      <c r="K817" s="8">
        <f>IFERROR(VLOOKUP(I817, data!E:F, 2, FALSE), "Precio Unidad")</f>
        <v>63</v>
      </c>
      <c r="L817" s="9">
        <f t="shared" si="13"/>
        <v>1008</v>
      </c>
    </row>
    <row r="818" spans="1:12" ht="15" customHeight="1" x14ac:dyDescent="0.2">
      <c r="A818" s="54">
        <v>46203</v>
      </c>
      <c r="F818" s="7" t="str">
        <f>IFERROR(VLOOKUP(G818, data!A:B, 2, FALSE), "Tienda")</f>
        <v>SC ENSENADA</v>
      </c>
      <c r="G818" s="1">
        <v>3015</v>
      </c>
      <c r="H818" s="2">
        <v>809</v>
      </c>
      <c r="I818" s="3" t="s">
        <v>12</v>
      </c>
      <c r="J818" s="4">
        <v>10</v>
      </c>
      <c r="K818" s="8">
        <f>IFERROR(VLOOKUP(I818, data!E:F, 2, FALSE), "Precio Unidad")</f>
        <v>95</v>
      </c>
      <c r="L818" s="9">
        <f t="shared" si="13"/>
        <v>950</v>
      </c>
    </row>
    <row r="819" spans="1:12" ht="15" customHeight="1" x14ac:dyDescent="0.2">
      <c r="A819" s="54">
        <v>46203</v>
      </c>
      <c r="F819" s="7" t="str">
        <f>IFERROR(VLOOKUP(G819, data!A:B, 2, FALSE), "Tienda")</f>
        <v>SC ENSENADA</v>
      </c>
      <c r="G819" s="1">
        <v>3015</v>
      </c>
      <c r="H819" s="2">
        <v>809</v>
      </c>
      <c r="I819" s="3" t="s">
        <v>13</v>
      </c>
      <c r="J819" s="4">
        <v>16</v>
      </c>
      <c r="K819" s="8">
        <f>IFERROR(VLOOKUP(I819, data!E:F, 2, FALSE), "Precio Unidad")</f>
        <v>63</v>
      </c>
      <c r="L819" s="9">
        <f t="shared" si="13"/>
        <v>1008</v>
      </c>
    </row>
    <row r="820" spans="1:12" ht="15" customHeight="1" x14ac:dyDescent="0.2">
      <c r="A820" s="54">
        <v>46203</v>
      </c>
      <c r="F820" s="7" t="str">
        <f>IFERROR(VLOOKUP(G820, data!A:B, 2, FALSE), "Tienda")</f>
        <v>SC ENSENADA CENTRO</v>
      </c>
      <c r="G820" s="1">
        <v>2947</v>
      </c>
      <c r="H820" s="2">
        <v>810</v>
      </c>
      <c r="I820" s="3" t="s">
        <v>10</v>
      </c>
      <c r="J820" s="4">
        <v>8</v>
      </c>
      <c r="K820" s="8">
        <f>IFERROR(VLOOKUP(I820, data!E:F, 2, FALSE), "Precio Unidad")</f>
        <v>151</v>
      </c>
      <c r="L820" s="9">
        <f t="shared" si="13"/>
        <v>1208</v>
      </c>
    </row>
    <row r="821" spans="1:12" ht="15" customHeight="1" x14ac:dyDescent="0.2">
      <c r="A821" s="54">
        <v>46203</v>
      </c>
      <c r="F821" s="7" t="str">
        <f>IFERROR(VLOOKUP(G821, data!A:B, 2, FALSE), "Tienda")</f>
        <v>SC ENSENADA CENTRO</v>
      </c>
      <c r="G821" s="1">
        <v>2947</v>
      </c>
      <c r="H821" s="2">
        <v>810</v>
      </c>
      <c r="I821" s="3" t="s">
        <v>12</v>
      </c>
      <c r="J821" s="4">
        <v>10</v>
      </c>
      <c r="K821" s="8">
        <f>IFERROR(VLOOKUP(I821, data!E:F, 2, FALSE), "Precio Unidad")</f>
        <v>95</v>
      </c>
      <c r="L821" s="9">
        <f t="shared" si="13"/>
        <v>950</v>
      </c>
    </row>
    <row r="822" spans="1:12" ht="15" customHeight="1" x14ac:dyDescent="0.2">
      <c r="A822" s="54">
        <v>46203</v>
      </c>
      <c r="F822" s="7" t="str">
        <f>IFERROR(VLOOKUP(G822, data!A:B, 2, FALSE), "Tienda")</f>
        <v>SC ENSENADA CENTRO</v>
      </c>
      <c r="G822" s="1">
        <v>2947</v>
      </c>
      <c r="H822" s="2">
        <v>810</v>
      </c>
      <c r="I822" s="3" t="s">
        <v>13</v>
      </c>
      <c r="J822" s="4">
        <v>16</v>
      </c>
      <c r="K822" s="8">
        <f>IFERROR(VLOOKUP(I822, data!E:F, 2, FALSE), "Precio Unidad")</f>
        <v>63</v>
      </c>
      <c r="L822" s="9">
        <f t="shared" si="13"/>
        <v>1008</v>
      </c>
    </row>
    <row r="823" spans="1:12" ht="15" customHeight="1" x14ac:dyDescent="0.2">
      <c r="A823" s="54">
        <v>46204</v>
      </c>
      <c r="F823" s="7" t="str">
        <f>IFERROR(VLOOKUP(G823, data!A:B, 2, FALSE), "Tienda")</f>
        <v>SC NUEVO MEXICALI</v>
      </c>
      <c r="G823" s="1">
        <v>5041</v>
      </c>
      <c r="H823" s="2">
        <v>811</v>
      </c>
      <c r="I823" s="3" t="s">
        <v>6</v>
      </c>
      <c r="J823" s="4">
        <v>16</v>
      </c>
      <c r="K823" s="8">
        <f>IFERROR(VLOOKUP(I823, data!E:F, 2, FALSE), "Precio Unidad")</f>
        <v>167</v>
      </c>
      <c r="L823" s="9">
        <f t="shared" si="13"/>
        <v>2672</v>
      </c>
    </row>
    <row r="824" spans="1:12" ht="15" customHeight="1" x14ac:dyDescent="0.2">
      <c r="A824" s="54">
        <v>46204</v>
      </c>
      <c r="F824" s="7" t="str">
        <f>IFERROR(VLOOKUP(G824, data!A:B, 2, FALSE), "Tienda")</f>
        <v>SC NUEVO MEXICALI</v>
      </c>
      <c r="G824" s="1">
        <v>5041</v>
      </c>
      <c r="H824" s="2">
        <v>811</v>
      </c>
      <c r="I824" s="3" t="s">
        <v>7</v>
      </c>
      <c r="J824" s="4">
        <v>10</v>
      </c>
      <c r="K824" s="8">
        <f>IFERROR(VLOOKUP(I824, data!E:F, 2, FALSE), "Precio Unidad")</f>
        <v>113</v>
      </c>
      <c r="L824" s="9">
        <f t="shared" si="13"/>
        <v>1130</v>
      </c>
    </row>
    <row r="825" spans="1:12" ht="15" customHeight="1" x14ac:dyDescent="0.2">
      <c r="A825" s="54">
        <v>46204</v>
      </c>
      <c r="F825" s="7" t="str">
        <f>IFERROR(VLOOKUP(G825, data!A:B, 2, FALSE), "Tienda")</f>
        <v>SC NUEVO MEXICALI</v>
      </c>
      <c r="G825" s="1">
        <v>5041</v>
      </c>
      <c r="H825" s="2">
        <v>811</v>
      </c>
      <c r="I825" s="3" t="s">
        <v>10</v>
      </c>
      <c r="J825" s="4">
        <v>32</v>
      </c>
      <c r="K825" s="8">
        <f>IFERROR(VLOOKUP(I825, data!E:F, 2, FALSE), "Precio Unidad")</f>
        <v>151</v>
      </c>
      <c r="L825" s="9">
        <f t="shared" si="13"/>
        <v>4832</v>
      </c>
    </row>
    <row r="826" spans="1:12" ht="15" customHeight="1" x14ac:dyDescent="0.2">
      <c r="A826" s="54">
        <v>46204</v>
      </c>
      <c r="F826" s="7" t="str">
        <f>IFERROR(VLOOKUP(G826, data!A:B, 2, FALSE), "Tienda")</f>
        <v>SC NUEVO MEXICALI</v>
      </c>
      <c r="G826" s="1">
        <v>5041</v>
      </c>
      <c r="H826" s="2">
        <v>811</v>
      </c>
      <c r="I826" s="3" t="s">
        <v>11</v>
      </c>
      <c r="J826" s="4">
        <v>12</v>
      </c>
      <c r="K826" s="8">
        <f>IFERROR(VLOOKUP(I826, data!E:F, 2, FALSE), "Precio Unidad")</f>
        <v>177</v>
      </c>
      <c r="L826" s="9">
        <f t="shared" si="13"/>
        <v>2124</v>
      </c>
    </row>
    <row r="827" spans="1:12" ht="15" customHeight="1" x14ac:dyDescent="0.2">
      <c r="A827" s="54">
        <v>46204</v>
      </c>
      <c r="F827" s="7" t="str">
        <f>IFERROR(VLOOKUP(G827, data!A:B, 2, FALSE), "Tienda")</f>
        <v>SC NUEVO MEXICALI</v>
      </c>
      <c r="G827" s="1">
        <v>5041</v>
      </c>
      <c r="H827" s="2">
        <v>811</v>
      </c>
      <c r="I827" s="3" t="s">
        <v>12</v>
      </c>
      <c r="J827" s="4">
        <v>20</v>
      </c>
      <c r="K827" s="8">
        <f>IFERROR(VLOOKUP(I827, data!E:F, 2, FALSE), "Precio Unidad")</f>
        <v>95</v>
      </c>
      <c r="L827" s="9">
        <f t="shared" si="13"/>
        <v>1900</v>
      </c>
    </row>
    <row r="828" spans="1:12" ht="15" customHeight="1" x14ac:dyDescent="0.2">
      <c r="A828" s="54">
        <v>46204</v>
      </c>
      <c r="F828" s="7" t="str">
        <f>IFERROR(VLOOKUP(G828, data!A:B, 2, FALSE), "Tienda")</f>
        <v>SC NUEVO MEXICALI</v>
      </c>
      <c r="G828" s="1">
        <v>5041</v>
      </c>
      <c r="H828" s="2">
        <v>811</v>
      </c>
      <c r="I828" s="3" t="s">
        <v>13</v>
      </c>
      <c r="J828" s="4">
        <v>32</v>
      </c>
      <c r="K828" s="8">
        <f>IFERROR(VLOOKUP(I828, data!E:F, 2, FALSE), "Precio Unidad")</f>
        <v>63</v>
      </c>
      <c r="L828" s="9">
        <f t="shared" si="13"/>
        <v>2016</v>
      </c>
    </row>
    <row r="829" spans="1:12" ht="15" customHeight="1" x14ac:dyDescent="0.2">
      <c r="A829" s="54">
        <v>46204</v>
      </c>
      <c r="F829" s="7" t="str">
        <f>IFERROR(VLOOKUP(G829, data!A:B, 2, FALSE), "Tienda")</f>
        <v>SC GALERIAS DEL VALLE</v>
      </c>
      <c r="G829" s="1">
        <v>4026</v>
      </c>
      <c r="H829" s="2">
        <v>812</v>
      </c>
      <c r="I829" s="3" t="s">
        <v>6</v>
      </c>
      <c r="J829" s="4">
        <v>4</v>
      </c>
      <c r="K829" s="8">
        <f>IFERROR(VLOOKUP(I829, data!E:F, 2, FALSE), "Precio Unidad")</f>
        <v>167</v>
      </c>
      <c r="L829" s="9">
        <f t="shared" si="13"/>
        <v>668</v>
      </c>
    </row>
    <row r="830" spans="1:12" ht="15" customHeight="1" x14ac:dyDescent="0.2">
      <c r="A830" s="54">
        <v>46204</v>
      </c>
      <c r="F830" s="7" t="str">
        <f>IFERROR(VLOOKUP(G830, data!A:B, 2, FALSE), "Tienda")</f>
        <v>SC GALERIAS DEL VALLE</v>
      </c>
      <c r="G830" s="1">
        <v>4026</v>
      </c>
      <c r="H830" s="2">
        <v>812</v>
      </c>
      <c r="I830" s="3" t="s">
        <v>7</v>
      </c>
      <c r="J830" s="4">
        <v>6</v>
      </c>
      <c r="K830" s="8">
        <f>IFERROR(VLOOKUP(I830, data!E:F, 2, FALSE), "Precio Unidad")</f>
        <v>113</v>
      </c>
      <c r="L830" s="9">
        <f t="shared" si="13"/>
        <v>678</v>
      </c>
    </row>
    <row r="831" spans="1:12" ht="15" customHeight="1" x14ac:dyDescent="0.2">
      <c r="A831" s="54">
        <v>46204</v>
      </c>
      <c r="F831" s="7" t="str">
        <f>IFERROR(VLOOKUP(G831, data!A:B, 2, FALSE), "Tienda")</f>
        <v>SC GALERIAS DEL VALLE</v>
      </c>
      <c r="G831" s="1">
        <v>4026</v>
      </c>
      <c r="H831" s="2">
        <v>812</v>
      </c>
      <c r="I831" s="3" t="s">
        <v>10</v>
      </c>
      <c r="J831" s="4">
        <v>16</v>
      </c>
      <c r="K831" s="8">
        <f>IFERROR(VLOOKUP(I831, data!E:F, 2, FALSE), "Precio Unidad")</f>
        <v>151</v>
      </c>
      <c r="L831" s="9">
        <f t="shared" si="13"/>
        <v>2416</v>
      </c>
    </row>
    <row r="832" spans="1:12" ht="15" customHeight="1" x14ac:dyDescent="0.2">
      <c r="A832" s="54">
        <v>46204</v>
      </c>
      <c r="F832" s="7" t="str">
        <f>IFERROR(VLOOKUP(G832, data!A:B, 2, FALSE), "Tienda")</f>
        <v>SC GALERIAS DEL VALLE</v>
      </c>
      <c r="G832" s="1">
        <v>4026</v>
      </c>
      <c r="H832" s="2">
        <v>812</v>
      </c>
      <c r="I832" s="3" t="s">
        <v>12</v>
      </c>
      <c r="J832" s="4">
        <v>10</v>
      </c>
      <c r="K832" s="8">
        <f>IFERROR(VLOOKUP(I832, data!E:F, 2, FALSE), "Precio Unidad")</f>
        <v>95</v>
      </c>
      <c r="L832" s="9">
        <f t="shared" si="13"/>
        <v>950</v>
      </c>
    </row>
    <row r="833" spans="1:12" ht="15" customHeight="1" x14ac:dyDescent="0.2">
      <c r="A833" s="54">
        <v>46204</v>
      </c>
      <c r="F833" s="7" t="str">
        <f>IFERROR(VLOOKUP(G833, data!A:B, 2, FALSE), "Tienda")</f>
        <v>SC GALERIAS DEL VALLE</v>
      </c>
      <c r="G833" s="1">
        <v>4026</v>
      </c>
      <c r="H833" s="2">
        <v>812</v>
      </c>
      <c r="I833" s="3" t="s">
        <v>13</v>
      </c>
      <c r="J833" s="4">
        <v>24</v>
      </c>
      <c r="K833" s="8">
        <f>IFERROR(VLOOKUP(I833, data!E:F, 2, FALSE), "Precio Unidad")</f>
        <v>63</v>
      </c>
      <c r="L833" s="9">
        <f t="shared" si="13"/>
        <v>1512</v>
      </c>
    </row>
    <row r="834" spans="1:12" ht="15" customHeight="1" x14ac:dyDescent="0.2">
      <c r="A834" s="54">
        <v>46204</v>
      </c>
      <c r="F834" s="7" t="str">
        <f>IFERROR(VLOOKUP(G834, data!A:B, 2, FALSE), "Tienda")</f>
        <v>SC MEXICALI</v>
      </c>
      <c r="G834" s="1">
        <v>2304</v>
      </c>
      <c r="H834" s="2">
        <v>813</v>
      </c>
      <c r="I834" s="3" t="s">
        <v>6</v>
      </c>
      <c r="J834" s="4">
        <v>8</v>
      </c>
      <c r="K834" s="8">
        <f>IFERROR(VLOOKUP(I834, data!E:F, 2, FALSE), "Precio Unidad")</f>
        <v>167</v>
      </c>
      <c r="L834" s="9">
        <f t="shared" si="13"/>
        <v>1336</v>
      </c>
    </row>
    <row r="835" spans="1:12" ht="15" customHeight="1" x14ac:dyDescent="0.2">
      <c r="A835" s="54">
        <v>46204</v>
      </c>
      <c r="F835" s="7" t="str">
        <f>IFERROR(VLOOKUP(G835, data!A:B, 2, FALSE), "Tienda")</f>
        <v>SC MEXICALI</v>
      </c>
      <c r="G835" s="1">
        <v>2304</v>
      </c>
      <c r="H835" s="2">
        <v>813</v>
      </c>
      <c r="I835" s="3" t="s">
        <v>7</v>
      </c>
      <c r="J835" s="4">
        <v>10</v>
      </c>
      <c r="K835" s="8">
        <f>IFERROR(VLOOKUP(I835, data!E:F, 2, FALSE), "Precio Unidad")</f>
        <v>113</v>
      </c>
      <c r="L835" s="9">
        <f t="shared" si="13"/>
        <v>1130</v>
      </c>
    </row>
    <row r="836" spans="1:12" ht="15" customHeight="1" x14ac:dyDescent="0.2">
      <c r="A836" s="54">
        <v>46204</v>
      </c>
      <c r="F836" s="7" t="str">
        <f>IFERROR(VLOOKUP(G836, data!A:B, 2, FALSE), "Tienda")</f>
        <v>SC MEXICALI</v>
      </c>
      <c r="G836" s="1">
        <v>2304</v>
      </c>
      <c r="H836" s="2">
        <v>813</v>
      </c>
      <c r="I836" s="3" t="s">
        <v>10</v>
      </c>
      <c r="J836" s="4">
        <v>16</v>
      </c>
      <c r="K836" s="8">
        <f>IFERROR(VLOOKUP(I836, data!E:F, 2, FALSE), "Precio Unidad")</f>
        <v>151</v>
      </c>
      <c r="L836" s="9">
        <f t="shared" si="13"/>
        <v>2416</v>
      </c>
    </row>
    <row r="837" spans="1:12" ht="15" customHeight="1" x14ac:dyDescent="0.2">
      <c r="A837" s="54">
        <v>46204</v>
      </c>
      <c r="F837" s="7" t="str">
        <f>IFERROR(VLOOKUP(G837, data!A:B, 2, FALSE), "Tienda")</f>
        <v>SC MEXICALI</v>
      </c>
      <c r="G837" s="1">
        <v>2304</v>
      </c>
      <c r="H837" s="2">
        <v>813</v>
      </c>
      <c r="I837" s="3" t="s">
        <v>11</v>
      </c>
      <c r="J837" s="4">
        <v>18</v>
      </c>
      <c r="K837" s="8">
        <f>IFERROR(VLOOKUP(I837, data!E:F, 2, FALSE), "Precio Unidad")</f>
        <v>177</v>
      </c>
      <c r="L837" s="9">
        <f t="shared" ref="L837:L900" si="14">K837*J837</f>
        <v>3186</v>
      </c>
    </row>
    <row r="838" spans="1:12" ht="15" customHeight="1" x14ac:dyDescent="0.2">
      <c r="A838" s="54">
        <v>46204</v>
      </c>
      <c r="F838" s="7" t="str">
        <f>IFERROR(VLOOKUP(G838, data!A:B, 2, FALSE), "Tienda")</f>
        <v>SC MEXICALI</v>
      </c>
      <c r="G838" s="1">
        <v>2304</v>
      </c>
      <c r="H838" s="2">
        <v>813</v>
      </c>
      <c r="I838" s="3" t="s">
        <v>12</v>
      </c>
      <c r="J838" s="4">
        <v>20</v>
      </c>
      <c r="K838" s="8">
        <f>IFERROR(VLOOKUP(I838, data!E:F, 2, FALSE), "Precio Unidad")</f>
        <v>95</v>
      </c>
      <c r="L838" s="9">
        <f t="shared" si="14"/>
        <v>1900</v>
      </c>
    </row>
    <row r="839" spans="1:12" ht="15" customHeight="1" x14ac:dyDescent="0.2">
      <c r="A839" s="54">
        <v>46204</v>
      </c>
      <c r="F839" s="7" t="str">
        <f>IFERROR(VLOOKUP(G839, data!A:B, 2, FALSE), "Tienda")</f>
        <v>SC MEXICALI</v>
      </c>
      <c r="G839" s="1">
        <v>2304</v>
      </c>
      <c r="H839" s="2">
        <v>813</v>
      </c>
      <c r="I839" s="3" t="s">
        <v>13</v>
      </c>
      <c r="J839" s="4">
        <v>16</v>
      </c>
      <c r="K839" s="8">
        <f>IFERROR(VLOOKUP(I839, data!E:F, 2, FALSE), "Precio Unidad")</f>
        <v>63</v>
      </c>
      <c r="L839" s="9">
        <f t="shared" si="14"/>
        <v>1008</v>
      </c>
    </row>
    <row r="840" spans="1:12" ht="15" customHeight="1" x14ac:dyDescent="0.2">
      <c r="A840" s="54">
        <v>46204</v>
      </c>
      <c r="F840" s="7" t="str">
        <f>IFERROR(VLOOKUP(G840, data!A:B, 2, FALSE), "Tienda")</f>
        <v>SC MEXICALI NOVENA</v>
      </c>
      <c r="G840" s="1">
        <v>1617</v>
      </c>
      <c r="H840" s="2">
        <v>814</v>
      </c>
      <c r="I840" s="3" t="s">
        <v>6</v>
      </c>
      <c r="J840" s="4">
        <v>16</v>
      </c>
      <c r="K840" s="8">
        <f>IFERROR(VLOOKUP(I840, data!E:F, 2, FALSE), "Precio Unidad")</f>
        <v>167</v>
      </c>
      <c r="L840" s="9">
        <f t="shared" si="14"/>
        <v>2672</v>
      </c>
    </row>
    <row r="841" spans="1:12" ht="15" customHeight="1" x14ac:dyDescent="0.2">
      <c r="A841" s="54">
        <v>46204</v>
      </c>
      <c r="F841" s="7" t="str">
        <f>IFERROR(VLOOKUP(G841, data!A:B, 2, FALSE), "Tienda")</f>
        <v>SC MEXICALI NOVENA</v>
      </c>
      <c r="G841" s="1">
        <v>1617</v>
      </c>
      <c r="H841" s="2">
        <v>814</v>
      </c>
      <c r="I841" s="3" t="s">
        <v>7</v>
      </c>
      <c r="J841" s="4">
        <v>10</v>
      </c>
      <c r="K841" s="8">
        <f>IFERROR(VLOOKUP(I841, data!E:F, 2, FALSE), "Precio Unidad")</f>
        <v>113</v>
      </c>
      <c r="L841" s="9">
        <f t="shared" si="14"/>
        <v>1130</v>
      </c>
    </row>
    <row r="842" spans="1:12" ht="15" customHeight="1" x14ac:dyDescent="0.2">
      <c r="A842" s="54">
        <v>46204</v>
      </c>
      <c r="F842" s="7" t="str">
        <f>IFERROR(VLOOKUP(G842, data!A:B, 2, FALSE), "Tienda")</f>
        <v>SC MEXICALI NOVENA</v>
      </c>
      <c r="G842" s="1">
        <v>1617</v>
      </c>
      <c r="H842" s="2">
        <v>814</v>
      </c>
      <c r="I842" s="3" t="s">
        <v>10</v>
      </c>
      <c r="J842" s="4">
        <v>32</v>
      </c>
      <c r="K842" s="8">
        <f>IFERROR(VLOOKUP(I842, data!E:F, 2, FALSE), "Precio Unidad")</f>
        <v>151</v>
      </c>
      <c r="L842" s="9">
        <f t="shared" si="14"/>
        <v>4832</v>
      </c>
    </row>
    <row r="843" spans="1:12" ht="15" customHeight="1" x14ac:dyDescent="0.2">
      <c r="A843" s="54">
        <v>46204</v>
      </c>
      <c r="F843" s="7" t="str">
        <f>IFERROR(VLOOKUP(G843, data!A:B, 2, FALSE), "Tienda")</f>
        <v>SC MEXICALI NOVENA</v>
      </c>
      <c r="G843" s="1">
        <v>1617</v>
      </c>
      <c r="H843" s="2">
        <v>814</v>
      </c>
      <c r="I843" s="3" t="s">
        <v>11</v>
      </c>
      <c r="J843" s="4">
        <v>12</v>
      </c>
      <c r="K843" s="8">
        <f>IFERROR(VLOOKUP(I843, data!E:F, 2, FALSE), "Precio Unidad")</f>
        <v>177</v>
      </c>
      <c r="L843" s="9">
        <f t="shared" si="14"/>
        <v>2124</v>
      </c>
    </row>
    <row r="844" spans="1:12" ht="15" customHeight="1" x14ac:dyDescent="0.2">
      <c r="A844" s="54">
        <v>46204</v>
      </c>
      <c r="F844" s="7" t="str">
        <f>IFERROR(VLOOKUP(G844, data!A:B, 2, FALSE), "Tienda")</f>
        <v>SC MEXICALI NOVENA</v>
      </c>
      <c r="G844" s="1">
        <v>1617</v>
      </c>
      <c r="H844" s="2">
        <v>814</v>
      </c>
      <c r="I844" s="3" t="s">
        <v>12</v>
      </c>
      <c r="J844" s="4">
        <v>20</v>
      </c>
      <c r="K844" s="8">
        <f>IFERROR(VLOOKUP(I844, data!E:F, 2, FALSE), "Precio Unidad")</f>
        <v>95</v>
      </c>
      <c r="L844" s="9">
        <f t="shared" si="14"/>
        <v>1900</v>
      </c>
    </row>
    <row r="845" spans="1:12" ht="15" customHeight="1" x14ac:dyDescent="0.2">
      <c r="A845" s="54">
        <v>46204</v>
      </c>
      <c r="F845" s="7" t="str">
        <f>IFERROR(VLOOKUP(G845, data!A:B, 2, FALSE), "Tienda")</f>
        <v>SC MEXICALI NOVENA</v>
      </c>
      <c r="G845" s="1">
        <v>1617</v>
      </c>
      <c r="H845" s="2">
        <v>814</v>
      </c>
      <c r="I845" s="3" t="s">
        <v>13</v>
      </c>
      <c r="J845" s="4">
        <v>32</v>
      </c>
      <c r="K845" s="8">
        <f>IFERROR(VLOOKUP(I845, data!E:F, 2, FALSE), "Precio Unidad")</f>
        <v>63</v>
      </c>
      <c r="L845" s="9">
        <f t="shared" si="14"/>
        <v>2016</v>
      </c>
    </row>
    <row r="846" spans="1:12" ht="15" customHeight="1" x14ac:dyDescent="0.2">
      <c r="A846" s="54">
        <v>46204</v>
      </c>
      <c r="F846" s="7" t="str">
        <f>IFERROR(VLOOKUP(G846, data!A:B, 2, FALSE), "Tienda")</f>
        <v>SC PLAZA SAN PEDRO</v>
      </c>
      <c r="G846" s="1">
        <v>1140</v>
      </c>
      <c r="H846" s="2">
        <v>815</v>
      </c>
      <c r="I846" s="3" t="s">
        <v>6</v>
      </c>
      <c r="J846" s="4">
        <v>8</v>
      </c>
      <c r="K846" s="8">
        <f>IFERROR(VLOOKUP(I846, data!E:F, 2, FALSE), "Precio Unidad")</f>
        <v>167</v>
      </c>
      <c r="L846" s="9">
        <f t="shared" si="14"/>
        <v>1336</v>
      </c>
    </row>
    <row r="847" spans="1:12" ht="15" customHeight="1" x14ac:dyDescent="0.2">
      <c r="A847" s="54">
        <v>46204</v>
      </c>
      <c r="F847" s="7" t="str">
        <f>IFERROR(VLOOKUP(G847, data!A:B, 2, FALSE), "Tienda")</f>
        <v>SC PLAZA SAN PEDRO</v>
      </c>
      <c r="G847" s="1">
        <v>1140</v>
      </c>
      <c r="H847" s="2">
        <v>815</v>
      </c>
      <c r="I847" s="3" t="s">
        <v>7</v>
      </c>
      <c r="J847" s="4">
        <v>10</v>
      </c>
      <c r="K847" s="8">
        <f>IFERROR(VLOOKUP(I847, data!E:F, 2, FALSE), "Precio Unidad")</f>
        <v>113</v>
      </c>
      <c r="L847" s="9">
        <f t="shared" si="14"/>
        <v>1130</v>
      </c>
    </row>
    <row r="848" spans="1:12" ht="15" customHeight="1" x14ac:dyDescent="0.2">
      <c r="A848" s="54">
        <v>46204</v>
      </c>
      <c r="F848" s="7" t="str">
        <f>IFERROR(VLOOKUP(G848, data!A:B, 2, FALSE), "Tienda")</f>
        <v>SC PLAZA SAN PEDRO</v>
      </c>
      <c r="G848" s="1">
        <v>1140</v>
      </c>
      <c r="H848" s="2">
        <v>815</v>
      </c>
      <c r="I848" s="3" t="s">
        <v>10</v>
      </c>
      <c r="J848" s="4">
        <v>24</v>
      </c>
      <c r="K848" s="8">
        <f>IFERROR(VLOOKUP(I848, data!E:F, 2, FALSE), "Precio Unidad")</f>
        <v>151</v>
      </c>
      <c r="L848" s="9">
        <f t="shared" si="14"/>
        <v>3624</v>
      </c>
    </row>
    <row r="849" spans="1:12" ht="15" customHeight="1" x14ac:dyDescent="0.2">
      <c r="A849" s="54">
        <v>46204</v>
      </c>
      <c r="F849" s="7" t="str">
        <f>IFERROR(VLOOKUP(G849, data!A:B, 2, FALSE), "Tienda")</f>
        <v>SC PLAZA SAN PEDRO</v>
      </c>
      <c r="G849" s="1">
        <v>1140</v>
      </c>
      <c r="H849" s="2">
        <v>815</v>
      </c>
      <c r="I849" s="3" t="s">
        <v>11</v>
      </c>
      <c r="J849" s="4">
        <v>6</v>
      </c>
      <c r="K849" s="8">
        <f>IFERROR(VLOOKUP(I849, data!E:F, 2, FALSE), "Precio Unidad")</f>
        <v>177</v>
      </c>
      <c r="L849" s="9">
        <f t="shared" si="14"/>
        <v>1062</v>
      </c>
    </row>
    <row r="850" spans="1:12" ht="15" customHeight="1" x14ac:dyDescent="0.2">
      <c r="A850" s="54">
        <v>46204</v>
      </c>
      <c r="F850" s="7" t="str">
        <f>IFERROR(VLOOKUP(G850, data!A:B, 2, FALSE), "Tienda")</f>
        <v>SC PLAZA SAN PEDRO</v>
      </c>
      <c r="G850" s="1">
        <v>1140</v>
      </c>
      <c r="H850" s="2">
        <v>815</v>
      </c>
      <c r="I850" s="3" t="s">
        <v>12</v>
      </c>
      <c r="J850" s="4">
        <v>30</v>
      </c>
      <c r="K850" s="8">
        <f>IFERROR(VLOOKUP(I850, data!E:F, 2, FALSE), "Precio Unidad")</f>
        <v>95</v>
      </c>
      <c r="L850" s="9">
        <f t="shared" si="14"/>
        <v>2850</v>
      </c>
    </row>
    <row r="851" spans="1:12" ht="15" customHeight="1" x14ac:dyDescent="0.2">
      <c r="A851" s="54">
        <v>46204</v>
      </c>
      <c r="F851" s="7" t="str">
        <f>IFERROR(VLOOKUP(G851, data!A:B, 2, FALSE), "Tienda")</f>
        <v>SC PLAZA SAN PEDRO</v>
      </c>
      <c r="G851" s="1">
        <v>1140</v>
      </c>
      <c r="H851" s="2">
        <v>815</v>
      </c>
      <c r="I851" s="3" t="s">
        <v>13</v>
      </c>
      <c r="J851" s="4">
        <v>24</v>
      </c>
      <c r="K851" s="8">
        <f>IFERROR(VLOOKUP(I851, data!E:F, 2, FALSE), "Precio Unidad")</f>
        <v>63</v>
      </c>
      <c r="L851" s="9">
        <f t="shared" si="14"/>
        <v>1512</v>
      </c>
    </row>
    <row r="852" spans="1:12" ht="15" customHeight="1" x14ac:dyDescent="0.2">
      <c r="A852" s="54">
        <v>46205</v>
      </c>
      <c r="F852" s="7" t="str">
        <f>IFERROR(VLOOKUP(G852, data!A:B, 2, FALSE), "Tienda")</f>
        <v>SC PLAYAS DE TIJUANA</v>
      </c>
      <c r="G852" s="1">
        <v>1613</v>
      </c>
      <c r="H852" s="2">
        <v>816</v>
      </c>
      <c r="I852" s="3" t="s">
        <v>6</v>
      </c>
      <c r="J852" s="4">
        <v>8</v>
      </c>
      <c r="K852" s="8">
        <f>IFERROR(VLOOKUP(I852, data!E:F, 2, FALSE), "Precio Unidad")</f>
        <v>167</v>
      </c>
      <c r="L852" s="9">
        <f t="shared" si="14"/>
        <v>1336</v>
      </c>
    </row>
    <row r="853" spans="1:12" ht="15" customHeight="1" x14ac:dyDescent="0.2">
      <c r="A853" s="54">
        <v>46205</v>
      </c>
      <c r="F853" s="7" t="str">
        <f>IFERROR(VLOOKUP(G853, data!A:B, 2, FALSE), "Tienda")</f>
        <v>SC PLAYAS DE TIJUANA</v>
      </c>
      <c r="G853" s="1">
        <v>1613</v>
      </c>
      <c r="H853" s="2">
        <v>816</v>
      </c>
      <c r="I853" s="3" t="s">
        <v>7</v>
      </c>
      <c r="J853" s="4">
        <v>10</v>
      </c>
      <c r="K853" s="8">
        <f>IFERROR(VLOOKUP(I853, data!E:F, 2, FALSE), "Precio Unidad")</f>
        <v>113</v>
      </c>
      <c r="L853" s="9">
        <f t="shared" si="14"/>
        <v>1130</v>
      </c>
    </row>
    <row r="854" spans="1:12" ht="15" customHeight="1" x14ac:dyDescent="0.2">
      <c r="A854" s="54">
        <v>46205</v>
      </c>
      <c r="F854" s="7" t="str">
        <f>IFERROR(VLOOKUP(G854, data!A:B, 2, FALSE), "Tienda")</f>
        <v>SC PLAYAS DE TIJUANA</v>
      </c>
      <c r="G854" s="1">
        <v>1613</v>
      </c>
      <c r="H854" s="2">
        <v>816</v>
      </c>
      <c r="I854" s="3" t="s">
        <v>10</v>
      </c>
      <c r="J854" s="4">
        <v>8</v>
      </c>
      <c r="K854" s="8">
        <f>IFERROR(VLOOKUP(I854, data!E:F, 2, FALSE), "Precio Unidad")</f>
        <v>151</v>
      </c>
      <c r="L854" s="9">
        <f t="shared" si="14"/>
        <v>1208</v>
      </c>
    </row>
    <row r="855" spans="1:12" ht="15" customHeight="1" x14ac:dyDescent="0.2">
      <c r="A855" s="54">
        <v>46205</v>
      </c>
      <c r="F855" s="7" t="str">
        <f>IFERROR(VLOOKUP(G855, data!A:B, 2, FALSE), "Tienda")</f>
        <v>SC PLAYAS DE TIJUANA</v>
      </c>
      <c r="G855" s="1">
        <v>1613</v>
      </c>
      <c r="H855" s="2">
        <v>816</v>
      </c>
      <c r="I855" s="3" t="s">
        <v>11</v>
      </c>
      <c r="J855" s="4">
        <v>6</v>
      </c>
      <c r="K855" s="8">
        <f>IFERROR(VLOOKUP(I855, data!E:F, 2, FALSE), "Precio Unidad")</f>
        <v>177</v>
      </c>
      <c r="L855" s="9">
        <f t="shared" si="14"/>
        <v>1062</v>
      </c>
    </row>
    <row r="856" spans="1:12" ht="15" customHeight="1" x14ac:dyDescent="0.2">
      <c r="A856" s="54">
        <v>46205</v>
      </c>
      <c r="F856" s="7" t="str">
        <f>IFERROR(VLOOKUP(G856, data!A:B, 2, FALSE), "Tienda")</f>
        <v>SC PLAYAS DE TIJUANA</v>
      </c>
      <c r="G856" s="1">
        <v>1613</v>
      </c>
      <c r="H856" s="2">
        <v>816</v>
      </c>
      <c r="I856" s="3" t="s">
        <v>12</v>
      </c>
      <c r="J856" s="4">
        <v>10</v>
      </c>
      <c r="K856" s="8">
        <f>IFERROR(VLOOKUP(I856, data!E:F, 2, FALSE), "Precio Unidad")</f>
        <v>95</v>
      </c>
      <c r="L856" s="9">
        <f t="shared" si="14"/>
        <v>950</v>
      </c>
    </row>
    <row r="857" spans="1:12" ht="15" customHeight="1" x14ac:dyDescent="0.2">
      <c r="A857" s="54">
        <v>46205</v>
      </c>
      <c r="F857" s="7" t="str">
        <f>IFERROR(VLOOKUP(G857, data!A:B, 2, FALSE), "Tienda")</f>
        <v>SC PLAYAS DE TIJUANA</v>
      </c>
      <c r="G857" s="1">
        <v>1613</v>
      </c>
      <c r="H857" s="2">
        <v>816</v>
      </c>
      <c r="I857" s="3" t="s">
        <v>13</v>
      </c>
      <c r="J857" s="4">
        <v>16</v>
      </c>
      <c r="K857" s="8">
        <f>IFERROR(VLOOKUP(I857, data!E:F, 2, FALSE), "Precio Unidad")</f>
        <v>63</v>
      </c>
      <c r="L857" s="9">
        <f t="shared" si="14"/>
        <v>1008</v>
      </c>
    </row>
    <row r="858" spans="1:12" ht="15" customHeight="1" x14ac:dyDescent="0.2">
      <c r="A858" s="54">
        <v>46205</v>
      </c>
      <c r="F858" s="7" t="str">
        <f>IFERROR(VLOOKUP(G858, data!A:B, 2, FALSE), "Tienda")</f>
        <v>SC PACIFICO</v>
      </c>
      <c r="G858" s="1">
        <v>1616</v>
      </c>
      <c r="H858" s="2">
        <v>817</v>
      </c>
      <c r="I858" s="3" t="s">
        <v>12</v>
      </c>
      <c r="J858" s="4">
        <v>10</v>
      </c>
      <c r="K858" s="8">
        <f>IFERROR(VLOOKUP(I858, data!E:F, 2, FALSE), "Precio Unidad")</f>
        <v>95</v>
      </c>
      <c r="L858" s="9">
        <f t="shared" si="14"/>
        <v>950</v>
      </c>
    </row>
    <row r="859" spans="1:12" ht="15" customHeight="1" x14ac:dyDescent="0.2">
      <c r="A859" s="54">
        <v>46205</v>
      </c>
      <c r="F859" s="7" t="str">
        <f>IFERROR(VLOOKUP(G859, data!A:B, 2, FALSE), "Tienda")</f>
        <v>SC PACIFICO</v>
      </c>
      <c r="G859" s="1">
        <v>1616</v>
      </c>
      <c r="H859" s="2">
        <v>817</v>
      </c>
      <c r="I859" s="3" t="s">
        <v>13</v>
      </c>
      <c r="J859" s="4">
        <v>16</v>
      </c>
      <c r="K859" s="8">
        <f>IFERROR(VLOOKUP(I859, data!E:F, 2, FALSE), "Precio Unidad")</f>
        <v>63</v>
      </c>
      <c r="L859" s="9">
        <f t="shared" si="14"/>
        <v>1008</v>
      </c>
    </row>
    <row r="860" spans="1:12" ht="15" customHeight="1" x14ac:dyDescent="0.2">
      <c r="A860" s="54">
        <v>46205</v>
      </c>
      <c r="F860" s="7" t="str">
        <f>IFERROR(VLOOKUP(G860, data!A:B, 2, FALSE), "Tienda")</f>
        <v>SC LOMAS DE SANTA FE</v>
      </c>
      <c r="G860" s="1">
        <v>190</v>
      </c>
      <c r="H860" s="2">
        <v>818</v>
      </c>
      <c r="I860" s="3" t="s">
        <v>6</v>
      </c>
      <c r="J860" s="4">
        <v>8</v>
      </c>
      <c r="K860" s="8">
        <f>IFERROR(VLOOKUP(I860, data!E:F, 2, FALSE), "Precio Unidad")</f>
        <v>167</v>
      </c>
      <c r="L860" s="9">
        <f t="shared" si="14"/>
        <v>1336</v>
      </c>
    </row>
    <row r="861" spans="1:12" ht="15" customHeight="1" x14ac:dyDescent="0.2">
      <c r="A861" s="54">
        <v>46205</v>
      </c>
      <c r="F861" s="7" t="str">
        <f>IFERROR(VLOOKUP(G861, data!A:B, 2, FALSE), "Tienda")</f>
        <v>SC LOMAS DE SANTA FE</v>
      </c>
      <c r="G861" s="1">
        <v>190</v>
      </c>
      <c r="H861" s="2">
        <v>818</v>
      </c>
      <c r="I861" s="3" t="s">
        <v>10</v>
      </c>
      <c r="J861" s="4">
        <v>8</v>
      </c>
      <c r="K861" s="8">
        <f>IFERROR(VLOOKUP(I861, data!E:F, 2, FALSE), "Precio Unidad")</f>
        <v>151</v>
      </c>
      <c r="L861" s="9">
        <f t="shared" si="14"/>
        <v>1208</v>
      </c>
    </row>
    <row r="862" spans="1:12" ht="15" customHeight="1" x14ac:dyDescent="0.2">
      <c r="A862" s="54">
        <v>46205</v>
      </c>
      <c r="F862" s="7" t="str">
        <f>IFERROR(VLOOKUP(G862, data!A:B, 2, FALSE), "Tienda")</f>
        <v>SC LOMAS DE SANTA FE</v>
      </c>
      <c r="G862" s="1">
        <v>190</v>
      </c>
      <c r="H862" s="2">
        <v>818</v>
      </c>
      <c r="I862" s="3" t="s">
        <v>12</v>
      </c>
      <c r="J862" s="4">
        <v>10</v>
      </c>
      <c r="K862" s="8">
        <f>IFERROR(VLOOKUP(I862, data!E:F, 2, FALSE), "Precio Unidad")</f>
        <v>95</v>
      </c>
      <c r="L862" s="9">
        <f t="shared" si="14"/>
        <v>950</v>
      </c>
    </row>
    <row r="863" spans="1:12" ht="15" customHeight="1" x14ac:dyDescent="0.2">
      <c r="A863" s="54">
        <v>46205</v>
      </c>
      <c r="F863" s="7" t="str">
        <f>IFERROR(VLOOKUP(G863, data!A:B, 2, FALSE), "Tienda")</f>
        <v>SC LOMAS DE SANTA FE</v>
      </c>
      <c r="G863" s="1">
        <v>190</v>
      </c>
      <c r="H863" s="2">
        <v>818</v>
      </c>
      <c r="I863" s="3" t="s">
        <v>13</v>
      </c>
      <c r="J863" s="4">
        <v>16</v>
      </c>
      <c r="K863" s="8">
        <f>IFERROR(VLOOKUP(I863, data!E:F, 2, FALSE), "Precio Unidad")</f>
        <v>63</v>
      </c>
      <c r="L863" s="9">
        <f t="shared" si="14"/>
        <v>1008</v>
      </c>
    </row>
    <row r="864" spans="1:12" ht="15" customHeight="1" x14ac:dyDescent="0.2">
      <c r="A864" s="54">
        <v>46205</v>
      </c>
      <c r="F864" s="7" t="str">
        <f>IFERROR(VLOOKUP(G864, data!A:B, 2, FALSE), "Tienda")</f>
        <v>SC MACROPLAZA INSURGENTES</v>
      </c>
      <c r="G864" s="1">
        <v>2023</v>
      </c>
      <c r="H864" s="2">
        <v>819</v>
      </c>
      <c r="I864" s="3" t="s">
        <v>6</v>
      </c>
      <c r="J864" s="4">
        <v>4</v>
      </c>
      <c r="K864" s="8">
        <f>IFERROR(VLOOKUP(I864, data!E:F, 2, FALSE), "Precio Unidad")</f>
        <v>167</v>
      </c>
      <c r="L864" s="9">
        <f t="shared" si="14"/>
        <v>668</v>
      </c>
    </row>
    <row r="865" spans="1:12" ht="15" customHeight="1" x14ac:dyDescent="0.2">
      <c r="A865" s="54">
        <v>46205</v>
      </c>
      <c r="F865" s="7" t="str">
        <f>IFERROR(VLOOKUP(G865, data!A:B, 2, FALSE), "Tienda")</f>
        <v>SC MACROPLAZA INSURGENTES</v>
      </c>
      <c r="G865" s="1">
        <v>2023</v>
      </c>
      <c r="H865" s="2">
        <v>819</v>
      </c>
      <c r="I865" s="3" t="s">
        <v>7</v>
      </c>
      <c r="J865" s="4">
        <v>6</v>
      </c>
      <c r="K865" s="8">
        <f>IFERROR(VLOOKUP(I865, data!E:F, 2, FALSE), "Precio Unidad")</f>
        <v>113</v>
      </c>
      <c r="L865" s="9">
        <f t="shared" si="14"/>
        <v>678</v>
      </c>
    </row>
    <row r="866" spans="1:12" ht="15" customHeight="1" x14ac:dyDescent="0.2">
      <c r="A866" s="54">
        <v>46205</v>
      </c>
      <c r="F866" s="7" t="str">
        <f>IFERROR(VLOOKUP(G866, data!A:B, 2, FALSE), "Tienda")</f>
        <v>SC MACROPLAZA INSURGENTES</v>
      </c>
      <c r="G866" s="1">
        <v>2023</v>
      </c>
      <c r="H866" s="2">
        <v>819</v>
      </c>
      <c r="I866" s="3" t="s">
        <v>10</v>
      </c>
      <c r="J866" s="4">
        <v>16</v>
      </c>
      <c r="K866" s="8">
        <f>IFERROR(VLOOKUP(I866, data!E:F, 2, FALSE), "Precio Unidad")</f>
        <v>151</v>
      </c>
      <c r="L866" s="9">
        <f t="shared" si="14"/>
        <v>2416</v>
      </c>
    </row>
    <row r="867" spans="1:12" ht="15" customHeight="1" x14ac:dyDescent="0.2">
      <c r="A867" s="54">
        <v>46205</v>
      </c>
      <c r="F867" s="7" t="str">
        <f>IFERROR(VLOOKUP(G867, data!A:B, 2, FALSE), "Tienda")</f>
        <v>SC MACROPLAZA INSURGENTES</v>
      </c>
      <c r="G867" s="1">
        <v>2023</v>
      </c>
      <c r="H867" s="2">
        <v>819</v>
      </c>
      <c r="I867" s="3" t="s">
        <v>12</v>
      </c>
      <c r="J867" s="4">
        <v>10</v>
      </c>
      <c r="K867" s="8">
        <f>IFERROR(VLOOKUP(I867, data!E:F, 2, FALSE), "Precio Unidad")</f>
        <v>95</v>
      </c>
      <c r="L867" s="9">
        <f t="shared" si="14"/>
        <v>950</v>
      </c>
    </row>
    <row r="868" spans="1:12" ht="15" customHeight="1" x14ac:dyDescent="0.2">
      <c r="A868" s="54">
        <v>46205</v>
      </c>
      <c r="F868" s="7" t="str">
        <f>IFERROR(VLOOKUP(G868, data!A:B, 2, FALSE), "Tienda")</f>
        <v>SC MACROPLAZA INSURGENTES</v>
      </c>
      <c r="G868" s="1">
        <v>2023</v>
      </c>
      <c r="H868" s="2">
        <v>819</v>
      </c>
      <c r="I868" s="3" t="s">
        <v>13</v>
      </c>
      <c r="J868" s="4">
        <v>16</v>
      </c>
      <c r="K868" s="8">
        <f>IFERROR(VLOOKUP(I868, data!E:F, 2, FALSE), "Precio Unidad")</f>
        <v>63</v>
      </c>
      <c r="L868" s="9">
        <f t="shared" si="14"/>
        <v>1008</v>
      </c>
    </row>
    <row r="869" spans="1:12" ht="15" customHeight="1" x14ac:dyDescent="0.2">
      <c r="A869" s="54">
        <v>46205</v>
      </c>
      <c r="F869" s="7" t="str">
        <f>IFERROR(VLOOKUP(G869, data!A:B, 2, FALSE), "Tienda")</f>
        <v>SC DIAZ ORDAZ</v>
      </c>
      <c r="G869" s="1">
        <v>3664</v>
      </c>
      <c r="H869" s="2">
        <v>820</v>
      </c>
      <c r="I869" s="3" t="s">
        <v>6</v>
      </c>
      <c r="J869" s="4">
        <v>4</v>
      </c>
      <c r="K869" s="8">
        <f>IFERROR(VLOOKUP(I869, data!E:F, 2, FALSE), "Precio Unidad")</f>
        <v>167</v>
      </c>
      <c r="L869" s="9">
        <f t="shared" si="14"/>
        <v>668</v>
      </c>
    </row>
    <row r="870" spans="1:12" ht="15" customHeight="1" x14ac:dyDescent="0.2">
      <c r="A870" s="54">
        <v>46205</v>
      </c>
      <c r="F870" s="7" t="str">
        <f>IFERROR(VLOOKUP(G870, data!A:B, 2, FALSE), "Tienda")</f>
        <v>SC DIAZ ORDAZ</v>
      </c>
      <c r="G870" s="1">
        <v>3664</v>
      </c>
      <c r="H870" s="2">
        <v>820</v>
      </c>
      <c r="I870" s="3" t="s">
        <v>7</v>
      </c>
      <c r="J870" s="4">
        <v>6</v>
      </c>
      <c r="K870" s="8">
        <f>IFERROR(VLOOKUP(I870, data!E:F, 2, FALSE), "Precio Unidad")</f>
        <v>113</v>
      </c>
      <c r="L870" s="9">
        <f t="shared" si="14"/>
        <v>678</v>
      </c>
    </row>
    <row r="871" spans="1:12" ht="15" customHeight="1" x14ac:dyDescent="0.2">
      <c r="A871" s="54">
        <v>46205</v>
      </c>
      <c r="F871" s="7" t="str">
        <f>IFERROR(VLOOKUP(G871, data!A:B, 2, FALSE), "Tienda")</f>
        <v>SC DIAZ ORDAZ</v>
      </c>
      <c r="G871" s="1">
        <v>3664</v>
      </c>
      <c r="H871" s="2">
        <v>820</v>
      </c>
      <c r="I871" s="3" t="s">
        <v>10</v>
      </c>
      <c r="J871" s="4">
        <v>8</v>
      </c>
      <c r="K871" s="8">
        <f>IFERROR(VLOOKUP(I871, data!E:F, 2, FALSE), "Precio Unidad")</f>
        <v>151</v>
      </c>
      <c r="L871" s="9">
        <f t="shared" si="14"/>
        <v>1208</v>
      </c>
    </row>
    <row r="872" spans="1:12" ht="15" customHeight="1" x14ac:dyDescent="0.2">
      <c r="A872" s="54">
        <v>46205</v>
      </c>
      <c r="F872" s="7" t="str">
        <f>IFERROR(VLOOKUP(G872, data!A:B, 2, FALSE), "Tienda")</f>
        <v>SC DIAZ ORDAZ</v>
      </c>
      <c r="G872" s="1">
        <v>3664</v>
      </c>
      <c r="H872" s="2">
        <v>820</v>
      </c>
      <c r="I872" s="3" t="s">
        <v>13</v>
      </c>
      <c r="J872" s="4">
        <v>16</v>
      </c>
      <c r="K872" s="8">
        <f>IFERROR(VLOOKUP(I872, data!E:F, 2, FALSE), "Precio Unidad")</f>
        <v>63</v>
      </c>
      <c r="L872" s="9">
        <f t="shared" si="14"/>
        <v>1008</v>
      </c>
    </row>
    <row r="873" spans="1:12" ht="15" customHeight="1" x14ac:dyDescent="0.2">
      <c r="A873" s="54">
        <v>46205</v>
      </c>
      <c r="F873" s="7" t="str">
        <f>IFERROR(VLOOKUP(G873, data!A:B, 2, FALSE), "Tienda")</f>
        <v>SC TIJUANA HIPODROMO</v>
      </c>
      <c r="G873" s="1">
        <v>4011</v>
      </c>
      <c r="H873" s="2">
        <v>821</v>
      </c>
      <c r="I873" s="3" t="s">
        <v>6</v>
      </c>
      <c r="J873" s="4">
        <v>4</v>
      </c>
      <c r="K873" s="8">
        <f>IFERROR(VLOOKUP(I873, data!E:F, 2, FALSE), "Precio Unidad")</f>
        <v>167</v>
      </c>
      <c r="L873" s="9">
        <f t="shared" si="14"/>
        <v>668</v>
      </c>
    </row>
    <row r="874" spans="1:12" ht="15" customHeight="1" x14ac:dyDescent="0.2">
      <c r="A874" s="54">
        <v>46205</v>
      </c>
      <c r="F874" s="7" t="str">
        <f>IFERROR(VLOOKUP(G874, data!A:B, 2, FALSE), "Tienda")</f>
        <v>SC TIJUANA HIPODROMO</v>
      </c>
      <c r="G874" s="1">
        <v>4011</v>
      </c>
      <c r="H874" s="2">
        <v>821</v>
      </c>
      <c r="I874" s="3" t="s">
        <v>7</v>
      </c>
      <c r="J874" s="4">
        <v>6</v>
      </c>
      <c r="K874" s="8">
        <f>IFERROR(VLOOKUP(I874, data!E:F, 2, FALSE), "Precio Unidad")</f>
        <v>113</v>
      </c>
      <c r="L874" s="9">
        <f t="shared" si="14"/>
        <v>678</v>
      </c>
    </row>
    <row r="875" spans="1:12" ht="15" customHeight="1" x14ac:dyDescent="0.2">
      <c r="A875" s="54">
        <v>46205</v>
      </c>
      <c r="F875" s="7" t="str">
        <f>IFERROR(VLOOKUP(G875, data!A:B, 2, FALSE), "Tienda")</f>
        <v>SC TIJUANA HIPODROMO</v>
      </c>
      <c r="G875" s="1">
        <v>4011</v>
      </c>
      <c r="H875" s="2">
        <v>821</v>
      </c>
      <c r="I875" s="3" t="s">
        <v>10</v>
      </c>
      <c r="J875" s="4">
        <v>8</v>
      </c>
      <c r="K875" s="8">
        <f>IFERROR(VLOOKUP(I875, data!E:F, 2, FALSE), "Precio Unidad")</f>
        <v>151</v>
      </c>
      <c r="L875" s="9">
        <f t="shared" si="14"/>
        <v>1208</v>
      </c>
    </row>
    <row r="876" spans="1:12" ht="15" customHeight="1" x14ac:dyDescent="0.2">
      <c r="A876" s="54">
        <v>46205</v>
      </c>
      <c r="F876" s="7" t="str">
        <f>IFERROR(VLOOKUP(G876, data!A:B, 2, FALSE), "Tienda")</f>
        <v>SC TIJUANA HIPODROMO</v>
      </c>
      <c r="G876" s="1">
        <v>4011</v>
      </c>
      <c r="H876" s="2">
        <v>821</v>
      </c>
      <c r="I876" s="3" t="s">
        <v>12</v>
      </c>
      <c r="J876" s="4">
        <v>10</v>
      </c>
      <c r="K876" s="8">
        <f>IFERROR(VLOOKUP(I876, data!E:F, 2, FALSE), "Precio Unidad")</f>
        <v>95</v>
      </c>
      <c r="L876" s="9">
        <f t="shared" si="14"/>
        <v>950</v>
      </c>
    </row>
    <row r="877" spans="1:12" ht="15" customHeight="1" x14ac:dyDescent="0.2">
      <c r="A877" s="54">
        <v>46205</v>
      </c>
      <c r="F877" s="7" t="str">
        <f>IFERROR(VLOOKUP(G877, data!A:B, 2, FALSE), "Tienda")</f>
        <v>SC TIJUANA HIPODROMO</v>
      </c>
      <c r="G877" s="1">
        <v>4011</v>
      </c>
      <c r="H877" s="2">
        <v>821</v>
      </c>
      <c r="I877" s="3" t="s">
        <v>13</v>
      </c>
      <c r="J877" s="4">
        <v>16</v>
      </c>
      <c r="K877" s="8">
        <f>IFERROR(VLOOKUP(I877, data!E:F, 2, FALSE), "Precio Unidad")</f>
        <v>63</v>
      </c>
      <c r="L877" s="9">
        <f t="shared" si="14"/>
        <v>1008</v>
      </c>
    </row>
    <row r="878" spans="1:12" ht="15" customHeight="1" x14ac:dyDescent="0.2">
      <c r="A878" s="54">
        <v>46205</v>
      </c>
      <c r="F878" s="7" t="str">
        <f>IFERROR(VLOOKUP(G878, data!A:B, 2, FALSE), "Tienda")</f>
        <v>SC TIJUANA 2000</v>
      </c>
      <c r="G878" s="1">
        <v>4155</v>
      </c>
      <c r="H878" s="2">
        <v>822</v>
      </c>
      <c r="I878" s="3" t="s">
        <v>6</v>
      </c>
      <c r="J878" s="4">
        <v>8</v>
      </c>
      <c r="K878" s="8">
        <f>IFERROR(VLOOKUP(I878, data!E:F, 2, FALSE), "Precio Unidad")</f>
        <v>167</v>
      </c>
      <c r="L878" s="9">
        <f t="shared" si="14"/>
        <v>1336</v>
      </c>
    </row>
    <row r="879" spans="1:12" ht="15" customHeight="1" x14ac:dyDescent="0.2">
      <c r="A879" s="54">
        <v>46205</v>
      </c>
      <c r="F879" s="7" t="str">
        <f>IFERROR(VLOOKUP(G879, data!A:B, 2, FALSE), "Tienda")</f>
        <v>SC TIJUANA 2000</v>
      </c>
      <c r="G879" s="1">
        <v>4155</v>
      </c>
      <c r="H879" s="2">
        <v>822</v>
      </c>
      <c r="I879" s="3" t="s">
        <v>10</v>
      </c>
      <c r="J879" s="4">
        <v>8</v>
      </c>
      <c r="K879" s="8">
        <f>IFERROR(VLOOKUP(I879, data!E:F, 2, FALSE), "Precio Unidad")</f>
        <v>151</v>
      </c>
      <c r="L879" s="9">
        <f t="shared" si="14"/>
        <v>1208</v>
      </c>
    </row>
    <row r="880" spans="1:12" ht="15" customHeight="1" x14ac:dyDescent="0.2">
      <c r="A880" s="54">
        <v>46205</v>
      </c>
      <c r="F880" s="7" t="str">
        <f>IFERROR(VLOOKUP(G880, data!A:B, 2, FALSE), "Tienda")</f>
        <v>SC TIJUANA 2000</v>
      </c>
      <c r="G880" s="1">
        <v>4155</v>
      </c>
      <c r="H880" s="2">
        <v>822</v>
      </c>
      <c r="I880" s="3" t="s">
        <v>12</v>
      </c>
      <c r="J880" s="4">
        <v>10</v>
      </c>
      <c r="K880" s="8">
        <f>IFERROR(VLOOKUP(I880, data!E:F, 2, FALSE), "Precio Unidad")</f>
        <v>95</v>
      </c>
      <c r="L880" s="9">
        <f t="shared" si="14"/>
        <v>950</v>
      </c>
    </row>
    <row r="881" spans="1:12" ht="15" customHeight="1" x14ac:dyDescent="0.2">
      <c r="A881" s="54">
        <v>46205</v>
      </c>
      <c r="F881" s="7" t="str">
        <f>IFERROR(VLOOKUP(G881, data!A:B, 2, FALSE), "Tienda")</f>
        <v>SC TIJUANA 2000</v>
      </c>
      <c r="G881" s="1">
        <v>4155</v>
      </c>
      <c r="H881" s="2">
        <v>822</v>
      </c>
      <c r="I881" s="3" t="s">
        <v>13</v>
      </c>
      <c r="J881" s="4">
        <v>16</v>
      </c>
      <c r="K881" s="8">
        <f>IFERROR(VLOOKUP(I881, data!E:F, 2, FALSE), "Precio Unidad")</f>
        <v>63</v>
      </c>
      <c r="L881" s="9">
        <f t="shared" si="14"/>
        <v>1008</v>
      </c>
    </row>
    <row r="882" spans="1:12" ht="15" customHeight="1" x14ac:dyDescent="0.2">
      <c r="A882" s="54">
        <v>46205</v>
      </c>
      <c r="F882" s="7" t="str">
        <f>IFERROR(VLOOKUP(G882, data!A:B, 2, FALSE), "Tienda")</f>
        <v>SC ROSARITO</v>
      </c>
      <c r="G882" s="1">
        <v>4187</v>
      </c>
      <c r="H882" s="2">
        <v>823</v>
      </c>
      <c r="I882" s="3" t="s">
        <v>6</v>
      </c>
      <c r="J882" s="4">
        <v>8</v>
      </c>
      <c r="K882" s="8">
        <f>IFERROR(VLOOKUP(I882, data!E:F, 2, FALSE), "Precio Unidad")</f>
        <v>167</v>
      </c>
      <c r="L882" s="9">
        <f t="shared" si="14"/>
        <v>1336</v>
      </c>
    </row>
    <row r="883" spans="1:12" ht="15" customHeight="1" x14ac:dyDescent="0.2">
      <c r="A883" s="54">
        <v>46205</v>
      </c>
      <c r="F883" s="7" t="str">
        <f>IFERROR(VLOOKUP(G883, data!A:B, 2, FALSE), "Tienda")</f>
        <v>SC ROSARITO</v>
      </c>
      <c r="G883" s="1">
        <v>4187</v>
      </c>
      <c r="H883" s="2">
        <v>823</v>
      </c>
      <c r="I883" s="3" t="s">
        <v>7</v>
      </c>
      <c r="J883" s="4">
        <v>10</v>
      </c>
      <c r="K883" s="8">
        <f>IFERROR(VLOOKUP(I883, data!E:F, 2, FALSE), "Precio Unidad")</f>
        <v>113</v>
      </c>
      <c r="L883" s="9">
        <f t="shared" si="14"/>
        <v>1130</v>
      </c>
    </row>
    <row r="884" spans="1:12" ht="15" customHeight="1" x14ac:dyDescent="0.2">
      <c r="A884" s="54">
        <v>46205</v>
      </c>
      <c r="F884" s="7" t="str">
        <f>IFERROR(VLOOKUP(G884, data!A:B, 2, FALSE), "Tienda")</f>
        <v>SC ROSARITO</v>
      </c>
      <c r="G884" s="1">
        <v>4187</v>
      </c>
      <c r="H884" s="2">
        <v>823</v>
      </c>
      <c r="I884" s="3" t="s">
        <v>10</v>
      </c>
      <c r="J884" s="4">
        <v>8</v>
      </c>
      <c r="K884" s="8">
        <f>IFERROR(VLOOKUP(I884, data!E:F, 2, FALSE), "Precio Unidad")</f>
        <v>151</v>
      </c>
      <c r="L884" s="9">
        <f t="shared" si="14"/>
        <v>1208</v>
      </c>
    </row>
    <row r="885" spans="1:12" ht="15" customHeight="1" x14ac:dyDescent="0.2">
      <c r="A885" s="54">
        <v>46205</v>
      </c>
      <c r="F885" s="7" t="str">
        <f>IFERROR(VLOOKUP(G885, data!A:B, 2, FALSE), "Tienda")</f>
        <v>SC ROSARITO</v>
      </c>
      <c r="G885" s="1">
        <v>4187</v>
      </c>
      <c r="H885" s="2">
        <v>823</v>
      </c>
      <c r="I885" s="3" t="s">
        <v>12</v>
      </c>
      <c r="J885" s="4">
        <v>20</v>
      </c>
      <c r="K885" s="8">
        <f>IFERROR(VLOOKUP(I885, data!E:F, 2, FALSE), "Precio Unidad")</f>
        <v>95</v>
      </c>
      <c r="L885" s="9">
        <f t="shared" si="14"/>
        <v>1900</v>
      </c>
    </row>
    <row r="886" spans="1:12" ht="15" customHeight="1" x14ac:dyDescent="0.2">
      <c r="A886" s="54">
        <v>46205</v>
      </c>
      <c r="F886" s="7" t="str">
        <f>IFERROR(VLOOKUP(G886, data!A:B, 2, FALSE), "Tienda")</f>
        <v>SC ROSARITO</v>
      </c>
      <c r="G886" s="1">
        <v>4187</v>
      </c>
      <c r="H886" s="2">
        <v>823</v>
      </c>
      <c r="I886" s="3" t="s">
        <v>13</v>
      </c>
      <c r="J886" s="4">
        <v>16</v>
      </c>
      <c r="K886" s="8">
        <f>IFERROR(VLOOKUP(I886, data!E:F, 2, FALSE), "Precio Unidad")</f>
        <v>63</v>
      </c>
      <c r="L886" s="9">
        <f t="shared" si="14"/>
        <v>1008</v>
      </c>
    </row>
    <row r="887" spans="1:12" ht="15" customHeight="1" x14ac:dyDescent="0.2">
      <c r="A887" s="54">
        <v>46205</v>
      </c>
      <c r="F887" s="7" t="str">
        <f>IFERROR(VLOOKUP(G887, data!A:B, 2, FALSE), "Tienda")</f>
        <v>SC TECATE GARITA</v>
      </c>
      <c r="G887" s="1">
        <v>5295</v>
      </c>
      <c r="H887" s="2">
        <v>824</v>
      </c>
      <c r="I887" s="3" t="s">
        <v>10</v>
      </c>
      <c r="J887" s="4">
        <v>8</v>
      </c>
      <c r="K887" s="8">
        <f>IFERROR(VLOOKUP(I887, data!E:F, 2, FALSE), "Precio Unidad")</f>
        <v>151</v>
      </c>
      <c r="L887" s="9">
        <f t="shared" si="14"/>
        <v>1208</v>
      </c>
    </row>
    <row r="888" spans="1:12" ht="15" customHeight="1" x14ac:dyDescent="0.2">
      <c r="A888" s="54">
        <v>46205</v>
      </c>
      <c r="F888" s="7" t="str">
        <f>IFERROR(VLOOKUP(G888, data!A:B, 2, FALSE), "Tienda")</f>
        <v>SC TECATE GARITA</v>
      </c>
      <c r="G888" s="1">
        <v>5295</v>
      </c>
      <c r="H888" s="2">
        <v>824</v>
      </c>
      <c r="I888" s="3" t="s">
        <v>12</v>
      </c>
      <c r="J888" s="4">
        <v>10</v>
      </c>
      <c r="K888" s="8">
        <f>IFERROR(VLOOKUP(I888, data!E:F, 2, FALSE), "Precio Unidad")</f>
        <v>95</v>
      </c>
      <c r="L888" s="9">
        <f t="shared" si="14"/>
        <v>950</v>
      </c>
    </row>
    <row r="889" spans="1:12" ht="15" customHeight="1" x14ac:dyDescent="0.2">
      <c r="A889" s="54">
        <v>46205</v>
      </c>
      <c r="F889" s="7" t="str">
        <f>IFERROR(VLOOKUP(G889, data!A:B, 2, FALSE), "Tienda")</f>
        <v>SC TECATE GARITA</v>
      </c>
      <c r="G889" s="1">
        <v>5295</v>
      </c>
      <c r="H889" s="2">
        <v>824</v>
      </c>
      <c r="I889" s="3" t="s">
        <v>13</v>
      </c>
      <c r="J889" s="4">
        <v>16</v>
      </c>
      <c r="K889" s="8">
        <f>IFERROR(VLOOKUP(I889, data!E:F, 2, FALSE), "Precio Unidad")</f>
        <v>63</v>
      </c>
      <c r="L889" s="9">
        <f t="shared" si="14"/>
        <v>1008</v>
      </c>
    </row>
    <row r="890" spans="1:12" ht="15" customHeight="1" x14ac:dyDescent="0.2">
      <c r="A890" s="54">
        <v>46206</v>
      </c>
      <c r="F890" s="7" t="str">
        <f>IFERROR(VLOOKUP(G890, data!A:B, 2, FALSE), "Tienda")</f>
        <v>SC TIJUANA 2000</v>
      </c>
      <c r="G890" s="1">
        <v>4155</v>
      </c>
      <c r="H890" s="2">
        <v>825</v>
      </c>
      <c r="I890" s="3" t="s">
        <v>6</v>
      </c>
      <c r="J890" s="4">
        <v>8</v>
      </c>
      <c r="K890" s="8">
        <f>IFERROR(VLOOKUP(I890, data!E:F, 2, FALSE), "Precio Unidad")</f>
        <v>167</v>
      </c>
      <c r="L890" s="9">
        <f t="shared" si="14"/>
        <v>1336</v>
      </c>
    </row>
    <row r="891" spans="1:12" ht="15" customHeight="1" x14ac:dyDescent="0.2">
      <c r="A891" s="54">
        <v>46206</v>
      </c>
      <c r="F891" s="7" t="str">
        <f>IFERROR(VLOOKUP(G891, data!A:B, 2, FALSE), "Tienda")</f>
        <v>SC TIJUANA HIPODROMO</v>
      </c>
      <c r="G891" s="1">
        <v>4011</v>
      </c>
      <c r="H891" s="2">
        <v>826</v>
      </c>
      <c r="I891" s="3" t="s">
        <v>6</v>
      </c>
      <c r="J891" s="4">
        <v>4</v>
      </c>
      <c r="K891" s="8">
        <f>IFERROR(VLOOKUP(I891, data!E:F, 2, FALSE), "Precio Unidad")</f>
        <v>167</v>
      </c>
      <c r="L891" s="9">
        <f t="shared" si="14"/>
        <v>668</v>
      </c>
    </row>
    <row r="892" spans="1:12" ht="15" customHeight="1" x14ac:dyDescent="0.2">
      <c r="A892" s="54">
        <v>46206</v>
      </c>
      <c r="F892" s="7" t="str">
        <f>IFERROR(VLOOKUP(G892, data!A:B, 2, FALSE), "Tienda")</f>
        <v>SC TIJUANA HIPODROMO</v>
      </c>
      <c r="G892" s="1">
        <v>4011</v>
      </c>
      <c r="H892" s="2">
        <v>826</v>
      </c>
      <c r="I892" s="3" t="s">
        <v>7</v>
      </c>
      <c r="J892" s="4">
        <v>6</v>
      </c>
      <c r="K892" s="8">
        <f>IFERROR(VLOOKUP(I892, data!E:F, 2, FALSE), "Precio Unidad")</f>
        <v>113</v>
      </c>
      <c r="L892" s="9">
        <f t="shared" si="14"/>
        <v>678</v>
      </c>
    </row>
    <row r="893" spans="1:12" ht="15" customHeight="1" x14ac:dyDescent="0.2">
      <c r="A893" s="54">
        <v>46206</v>
      </c>
      <c r="F893" s="7" t="str">
        <f>IFERROR(VLOOKUP(G893, data!A:B, 2, FALSE), "Tienda")</f>
        <v>SC DIAZ ORDAZ</v>
      </c>
      <c r="G893" s="1">
        <v>3664</v>
      </c>
      <c r="H893" s="2">
        <v>827</v>
      </c>
      <c r="I893" s="3" t="s">
        <v>6</v>
      </c>
      <c r="J893" s="4">
        <v>4</v>
      </c>
      <c r="K893" s="8">
        <f>IFERROR(VLOOKUP(I893, data!E:F, 2, FALSE), "Precio Unidad")</f>
        <v>167</v>
      </c>
      <c r="L893" s="9">
        <f t="shared" si="14"/>
        <v>668</v>
      </c>
    </row>
    <row r="894" spans="1:12" ht="15" customHeight="1" x14ac:dyDescent="0.2">
      <c r="A894" s="54">
        <v>46206</v>
      </c>
      <c r="F894" s="7" t="str">
        <f>IFERROR(VLOOKUP(G894, data!A:B, 2, FALSE), "Tienda")</f>
        <v>SC DIAZ ORDAZ</v>
      </c>
      <c r="G894" s="1">
        <v>3664</v>
      </c>
      <c r="H894" s="2">
        <v>827</v>
      </c>
      <c r="I894" s="3" t="s">
        <v>7</v>
      </c>
      <c r="J894" s="4">
        <v>6</v>
      </c>
      <c r="K894" s="8">
        <f>IFERROR(VLOOKUP(I894, data!E:F, 2, FALSE), "Precio Unidad")</f>
        <v>113</v>
      </c>
      <c r="L894" s="9">
        <f t="shared" si="14"/>
        <v>678</v>
      </c>
    </row>
    <row r="895" spans="1:12" ht="15" customHeight="1" x14ac:dyDescent="0.2">
      <c r="A895" s="54">
        <v>46206</v>
      </c>
      <c r="F895" s="7" t="str">
        <f>IFERROR(VLOOKUP(G895, data!A:B, 2, FALSE), "Tienda")</f>
        <v>SC MACROPLAZA INSURGENTES</v>
      </c>
      <c r="G895" s="1">
        <v>2023</v>
      </c>
      <c r="H895" s="2">
        <v>828</v>
      </c>
      <c r="I895" s="3" t="s">
        <v>6</v>
      </c>
      <c r="J895" s="4">
        <v>4</v>
      </c>
      <c r="K895" s="8">
        <f>IFERROR(VLOOKUP(I895, data!E:F, 2, FALSE), "Precio Unidad")</f>
        <v>167</v>
      </c>
      <c r="L895" s="9">
        <f t="shared" si="14"/>
        <v>668</v>
      </c>
    </row>
    <row r="896" spans="1:12" ht="15" customHeight="1" x14ac:dyDescent="0.2">
      <c r="A896" s="54">
        <v>46206</v>
      </c>
      <c r="F896" s="7" t="str">
        <f>IFERROR(VLOOKUP(G896, data!A:B, 2, FALSE), "Tienda")</f>
        <v>SC MACROPLAZA INSURGENTES</v>
      </c>
      <c r="G896" s="1">
        <v>2023</v>
      </c>
      <c r="H896" s="2">
        <v>828</v>
      </c>
      <c r="I896" s="3" t="s">
        <v>7</v>
      </c>
      <c r="J896" s="4">
        <v>6</v>
      </c>
      <c r="K896" s="8">
        <f>IFERROR(VLOOKUP(I896, data!E:F, 2, FALSE), "Precio Unidad")</f>
        <v>113</v>
      </c>
      <c r="L896" s="9">
        <f t="shared" si="14"/>
        <v>678</v>
      </c>
    </row>
    <row r="897" spans="1:12" ht="15" customHeight="1" x14ac:dyDescent="0.2">
      <c r="A897" s="54">
        <v>46206</v>
      </c>
      <c r="F897" s="7" t="str">
        <f>IFERROR(VLOOKUP(G897, data!A:B, 2, FALSE), "Tienda")</f>
        <v>SC ENSENADA</v>
      </c>
      <c r="G897" s="1">
        <v>3015</v>
      </c>
      <c r="H897" s="2">
        <v>829</v>
      </c>
      <c r="I897" s="3" t="s">
        <v>7</v>
      </c>
      <c r="J897" s="4">
        <v>10</v>
      </c>
      <c r="K897" s="8">
        <f>IFERROR(VLOOKUP(I897, data!E:F, 2, FALSE), "Precio Unidad")</f>
        <v>113</v>
      </c>
      <c r="L897" s="9">
        <f t="shared" si="14"/>
        <v>1130</v>
      </c>
    </row>
    <row r="898" spans="1:12" ht="15" customHeight="1" x14ac:dyDescent="0.2">
      <c r="A898" s="54">
        <v>46206</v>
      </c>
      <c r="F898" s="7" t="str">
        <f>IFERROR(VLOOKUP(G898, data!A:B, 2, FALSE), "Tienda")</f>
        <v>SC ENSENADA</v>
      </c>
      <c r="G898" s="1">
        <v>3015</v>
      </c>
      <c r="H898" s="2">
        <v>829</v>
      </c>
      <c r="I898" s="3" t="s">
        <v>10</v>
      </c>
      <c r="J898" s="4">
        <v>8</v>
      </c>
      <c r="K898" s="8">
        <f>IFERROR(VLOOKUP(I898, data!E:F, 2, FALSE), "Precio Unidad")</f>
        <v>151</v>
      </c>
      <c r="L898" s="9">
        <f t="shared" si="14"/>
        <v>1208</v>
      </c>
    </row>
    <row r="899" spans="1:12" ht="15" customHeight="1" x14ac:dyDescent="0.2">
      <c r="A899" s="54">
        <v>46206</v>
      </c>
      <c r="F899" s="7" t="str">
        <f>IFERROR(VLOOKUP(G899, data!A:B, 2, FALSE), "Tienda")</f>
        <v>SC ENSENADA</v>
      </c>
      <c r="G899" s="1">
        <v>3015</v>
      </c>
      <c r="H899" s="2">
        <v>829</v>
      </c>
      <c r="I899" s="3" t="s">
        <v>12</v>
      </c>
      <c r="J899" s="4">
        <v>10</v>
      </c>
      <c r="K899" s="8">
        <f>IFERROR(VLOOKUP(I899, data!E:F, 2, FALSE), "Precio Unidad")</f>
        <v>95</v>
      </c>
      <c r="L899" s="9">
        <f t="shared" si="14"/>
        <v>950</v>
      </c>
    </row>
    <row r="900" spans="1:12" ht="15" customHeight="1" x14ac:dyDescent="0.2">
      <c r="A900" s="54">
        <v>46206</v>
      </c>
      <c r="F900" s="7" t="str">
        <f>IFERROR(VLOOKUP(G900, data!A:B, 2, FALSE), "Tienda")</f>
        <v>SC ENSENADA</v>
      </c>
      <c r="G900" s="1">
        <v>3015</v>
      </c>
      <c r="H900" s="2">
        <v>829</v>
      </c>
      <c r="I900" s="3" t="s">
        <v>13</v>
      </c>
      <c r="J900" s="4">
        <v>16</v>
      </c>
      <c r="K900" s="8">
        <f>IFERROR(VLOOKUP(I900, data!E:F, 2, FALSE), "Precio Unidad")</f>
        <v>63</v>
      </c>
      <c r="L900" s="9">
        <f t="shared" si="14"/>
        <v>1008</v>
      </c>
    </row>
    <row r="901" spans="1:12" ht="15" customHeight="1" x14ac:dyDescent="0.2">
      <c r="A901" s="54">
        <v>46206</v>
      </c>
      <c r="F901" s="7" t="str">
        <f>IFERROR(VLOOKUP(G901, data!A:B, 2, FALSE), "Tienda")</f>
        <v>SC ENSENADA CENTRO</v>
      </c>
      <c r="G901" s="1">
        <v>2947</v>
      </c>
      <c r="H901" s="2">
        <v>830</v>
      </c>
      <c r="I901" s="3" t="s">
        <v>6</v>
      </c>
      <c r="J901" s="4">
        <v>4</v>
      </c>
      <c r="K901" s="8">
        <f>IFERROR(VLOOKUP(I901, data!E:F, 2, FALSE), "Precio Unidad")</f>
        <v>167</v>
      </c>
      <c r="L901" s="9">
        <f t="shared" ref="L901:L964" si="15">K901*J901</f>
        <v>668</v>
      </c>
    </row>
    <row r="902" spans="1:12" ht="15" customHeight="1" x14ac:dyDescent="0.2">
      <c r="A902" s="54">
        <v>46206</v>
      </c>
      <c r="F902" s="7" t="str">
        <f>IFERROR(VLOOKUP(G902, data!A:B, 2, FALSE), "Tienda")</f>
        <v>SC ENSENADA CENTRO</v>
      </c>
      <c r="G902" s="1">
        <v>2947</v>
      </c>
      <c r="H902" s="2">
        <v>830</v>
      </c>
      <c r="I902" s="3" t="s">
        <v>7</v>
      </c>
      <c r="J902" s="4">
        <v>6</v>
      </c>
      <c r="K902" s="8">
        <f>IFERROR(VLOOKUP(I902, data!E:F, 2, FALSE), "Precio Unidad")</f>
        <v>113</v>
      </c>
      <c r="L902" s="9">
        <f t="shared" si="15"/>
        <v>678</v>
      </c>
    </row>
    <row r="903" spans="1:12" ht="15" customHeight="1" x14ac:dyDescent="0.2">
      <c r="A903" s="54">
        <v>46206</v>
      </c>
      <c r="F903" s="7" t="str">
        <f>IFERROR(VLOOKUP(G903, data!A:B, 2, FALSE), "Tienda")</f>
        <v>SC ENSENADA CENTRO</v>
      </c>
      <c r="G903" s="1">
        <v>2947</v>
      </c>
      <c r="H903" s="2">
        <v>830</v>
      </c>
      <c r="I903" s="3" t="s">
        <v>10</v>
      </c>
      <c r="J903" s="4">
        <v>8</v>
      </c>
      <c r="K903" s="8">
        <f>IFERROR(VLOOKUP(I903, data!E:F, 2, FALSE), "Precio Unidad")</f>
        <v>151</v>
      </c>
      <c r="L903" s="9">
        <f t="shared" si="15"/>
        <v>1208</v>
      </c>
    </row>
    <row r="904" spans="1:12" ht="15" customHeight="1" x14ac:dyDescent="0.2">
      <c r="A904" s="54">
        <v>46206</v>
      </c>
      <c r="F904" s="7" t="str">
        <f>IFERROR(VLOOKUP(G904, data!A:B, 2, FALSE), "Tienda")</f>
        <v>SC ENSENADA CENTRO</v>
      </c>
      <c r="G904" s="1">
        <v>2947</v>
      </c>
      <c r="H904" s="2">
        <v>830</v>
      </c>
      <c r="I904" s="3" t="s">
        <v>12</v>
      </c>
      <c r="J904" s="4">
        <v>10</v>
      </c>
      <c r="K904" s="8">
        <f>IFERROR(VLOOKUP(I904, data!E:F, 2, FALSE), "Precio Unidad")</f>
        <v>95</v>
      </c>
      <c r="L904" s="9">
        <f t="shared" si="15"/>
        <v>950</v>
      </c>
    </row>
    <row r="905" spans="1:12" ht="15" customHeight="1" x14ac:dyDescent="0.2">
      <c r="A905" s="54">
        <v>46206</v>
      </c>
      <c r="F905" s="7" t="str">
        <f>IFERROR(VLOOKUP(G905, data!A:B, 2, FALSE), "Tienda")</f>
        <v>SC ENSENADA CENTRO</v>
      </c>
      <c r="G905" s="1">
        <v>2947</v>
      </c>
      <c r="H905" s="2">
        <v>830</v>
      </c>
      <c r="I905" s="3" t="s">
        <v>13</v>
      </c>
      <c r="J905" s="4">
        <v>16</v>
      </c>
      <c r="K905" s="8">
        <f>IFERROR(VLOOKUP(I905, data!E:F, 2, FALSE), "Precio Unidad")</f>
        <v>63</v>
      </c>
      <c r="L905" s="9">
        <f t="shared" si="15"/>
        <v>1008</v>
      </c>
    </row>
    <row r="906" spans="1:12" ht="15" customHeight="1" x14ac:dyDescent="0.2">
      <c r="A906" s="54">
        <v>46207</v>
      </c>
      <c r="F906" s="7" t="str">
        <f>IFERROR(VLOOKUP(G906, data!A:B, 2, FALSE), "Tienda")</f>
        <v>SC NUEVO MEXICALI</v>
      </c>
      <c r="G906" s="1">
        <v>5041</v>
      </c>
      <c r="H906" s="2">
        <v>831</v>
      </c>
      <c r="I906" s="3" t="s">
        <v>6</v>
      </c>
      <c r="J906" s="4">
        <v>8</v>
      </c>
      <c r="K906" s="8">
        <f>IFERROR(VLOOKUP(I906, data!E:F, 2, FALSE), "Precio Unidad")</f>
        <v>167</v>
      </c>
      <c r="L906" s="9">
        <f t="shared" si="15"/>
        <v>1336</v>
      </c>
    </row>
    <row r="907" spans="1:12" ht="15" customHeight="1" x14ac:dyDescent="0.2">
      <c r="A907" s="54">
        <v>46207</v>
      </c>
      <c r="F907" s="7" t="str">
        <f>IFERROR(VLOOKUP(G907, data!A:B, 2, FALSE), "Tienda")</f>
        <v>SC NUEVO MEXICALI</v>
      </c>
      <c r="G907" s="1">
        <v>5041</v>
      </c>
      <c r="H907" s="2">
        <v>831</v>
      </c>
      <c r="I907" s="3" t="s">
        <v>7</v>
      </c>
      <c r="J907" s="4">
        <v>10</v>
      </c>
      <c r="K907" s="8">
        <f>IFERROR(VLOOKUP(I907, data!E:F, 2, FALSE), "Precio Unidad")</f>
        <v>113</v>
      </c>
      <c r="L907" s="9">
        <f t="shared" si="15"/>
        <v>1130</v>
      </c>
    </row>
    <row r="908" spans="1:12" ht="15" customHeight="1" x14ac:dyDescent="0.2">
      <c r="A908" s="54">
        <v>46207</v>
      </c>
      <c r="F908" s="7" t="str">
        <f>IFERROR(VLOOKUP(G908, data!A:B, 2, FALSE), "Tienda")</f>
        <v>SC NUEVO MEXICALI</v>
      </c>
      <c r="G908" s="1">
        <v>5041</v>
      </c>
      <c r="H908" s="2">
        <v>831</v>
      </c>
      <c r="I908" s="3" t="s">
        <v>10</v>
      </c>
      <c r="J908" s="4">
        <v>8</v>
      </c>
      <c r="K908" s="8">
        <f>IFERROR(VLOOKUP(I908, data!E:F, 2, FALSE), "Precio Unidad")</f>
        <v>151</v>
      </c>
      <c r="L908" s="9">
        <f t="shared" si="15"/>
        <v>1208</v>
      </c>
    </row>
    <row r="909" spans="1:12" ht="15" customHeight="1" x14ac:dyDescent="0.2">
      <c r="A909" s="54">
        <v>46207</v>
      </c>
      <c r="F909" s="7" t="str">
        <f>IFERROR(VLOOKUP(G909, data!A:B, 2, FALSE), "Tienda")</f>
        <v>SC NUEVO MEXICALI</v>
      </c>
      <c r="G909" s="1">
        <v>5041</v>
      </c>
      <c r="H909" s="2">
        <v>831</v>
      </c>
      <c r="I909" s="3" t="s">
        <v>12</v>
      </c>
      <c r="J909" s="4">
        <v>20</v>
      </c>
      <c r="K909" s="8">
        <f>IFERROR(VLOOKUP(I909, data!E:F, 2, FALSE), "Precio Unidad")</f>
        <v>95</v>
      </c>
      <c r="L909" s="9">
        <f t="shared" si="15"/>
        <v>1900</v>
      </c>
    </row>
    <row r="910" spans="1:12" ht="15" customHeight="1" x14ac:dyDescent="0.2">
      <c r="A910" s="54">
        <v>46207</v>
      </c>
      <c r="F910" s="7" t="str">
        <f>IFERROR(VLOOKUP(G910, data!A:B, 2, FALSE), "Tienda")</f>
        <v>SC NUEVO MEXICALI</v>
      </c>
      <c r="G910" s="1">
        <v>5041</v>
      </c>
      <c r="H910" s="2">
        <v>831</v>
      </c>
      <c r="I910" s="3" t="s">
        <v>13</v>
      </c>
      <c r="J910" s="4">
        <v>32</v>
      </c>
      <c r="K910" s="8">
        <f>IFERROR(VLOOKUP(I910, data!E:F, 2, FALSE), "Precio Unidad")</f>
        <v>63</v>
      </c>
      <c r="L910" s="9">
        <f t="shared" si="15"/>
        <v>2016</v>
      </c>
    </row>
    <row r="911" spans="1:12" ht="15" customHeight="1" x14ac:dyDescent="0.2">
      <c r="A911" s="54">
        <v>46207</v>
      </c>
      <c r="F911" s="7" t="str">
        <f>IFERROR(VLOOKUP(G911, data!A:B, 2, FALSE), "Tienda")</f>
        <v>SC GALERIAS DEL VALLE</v>
      </c>
      <c r="G911" s="1">
        <v>4026</v>
      </c>
      <c r="H911" s="2">
        <v>832</v>
      </c>
      <c r="I911" s="3" t="s">
        <v>6</v>
      </c>
      <c r="J911" s="4">
        <v>4</v>
      </c>
      <c r="K911" s="8">
        <f>IFERROR(VLOOKUP(I911, data!E:F, 2, FALSE), "Precio Unidad")</f>
        <v>167</v>
      </c>
      <c r="L911" s="9">
        <f t="shared" si="15"/>
        <v>668</v>
      </c>
    </row>
    <row r="912" spans="1:12" ht="15" customHeight="1" x14ac:dyDescent="0.2">
      <c r="A912" s="54">
        <v>46207</v>
      </c>
      <c r="F912" s="7" t="str">
        <f>IFERROR(VLOOKUP(G912, data!A:B, 2, FALSE), "Tienda")</f>
        <v>SC GALERIAS DEL VALLE</v>
      </c>
      <c r="G912" s="1">
        <v>4026</v>
      </c>
      <c r="H912" s="2">
        <v>832</v>
      </c>
      <c r="I912" s="3" t="s">
        <v>7</v>
      </c>
      <c r="J912" s="4">
        <v>6</v>
      </c>
      <c r="K912" s="8">
        <f>IFERROR(VLOOKUP(I912, data!E:F, 2, FALSE), "Precio Unidad")</f>
        <v>113</v>
      </c>
      <c r="L912" s="9">
        <f t="shared" si="15"/>
        <v>678</v>
      </c>
    </row>
    <row r="913" spans="1:12" ht="15" customHeight="1" x14ac:dyDescent="0.2">
      <c r="A913" s="54">
        <v>46207</v>
      </c>
      <c r="F913" s="7" t="str">
        <f>IFERROR(VLOOKUP(G913, data!A:B, 2, FALSE), "Tienda")</f>
        <v>SC GALERIAS DEL VALLE</v>
      </c>
      <c r="G913" s="1">
        <v>4026</v>
      </c>
      <c r="H913" s="2">
        <v>832</v>
      </c>
      <c r="I913" s="3" t="s">
        <v>10</v>
      </c>
      <c r="J913" s="4">
        <v>8</v>
      </c>
      <c r="K913" s="8">
        <f>IFERROR(VLOOKUP(I913, data!E:F, 2, FALSE), "Precio Unidad")</f>
        <v>151</v>
      </c>
      <c r="L913" s="9">
        <f t="shared" si="15"/>
        <v>1208</v>
      </c>
    </row>
    <row r="914" spans="1:12" ht="15" customHeight="1" x14ac:dyDescent="0.2">
      <c r="A914" s="54">
        <v>46207</v>
      </c>
      <c r="F914" s="7" t="str">
        <f>IFERROR(VLOOKUP(G914, data!A:B, 2, FALSE), "Tienda")</f>
        <v>SC GALERIAS DEL VALLE</v>
      </c>
      <c r="G914" s="1">
        <v>4026</v>
      </c>
      <c r="H914" s="2">
        <v>832</v>
      </c>
      <c r="I914" s="3" t="s">
        <v>12</v>
      </c>
      <c r="J914" s="4">
        <v>20</v>
      </c>
      <c r="K914" s="8">
        <f>IFERROR(VLOOKUP(I914, data!E:F, 2, FALSE), "Precio Unidad")</f>
        <v>95</v>
      </c>
      <c r="L914" s="9">
        <f t="shared" si="15"/>
        <v>1900</v>
      </c>
    </row>
    <row r="915" spans="1:12" ht="15" customHeight="1" x14ac:dyDescent="0.2">
      <c r="A915" s="54">
        <v>46207</v>
      </c>
      <c r="F915" s="7" t="str">
        <f>IFERROR(VLOOKUP(G915, data!A:B, 2, FALSE), "Tienda")</f>
        <v>SC GALERIAS DEL VALLE</v>
      </c>
      <c r="G915" s="1">
        <v>4026</v>
      </c>
      <c r="H915" s="2">
        <v>832</v>
      </c>
      <c r="I915" s="3" t="s">
        <v>13</v>
      </c>
      <c r="J915" s="4">
        <v>8</v>
      </c>
      <c r="K915" s="8">
        <f>IFERROR(VLOOKUP(I915, data!E:F, 2, FALSE), "Precio Unidad")</f>
        <v>63</v>
      </c>
      <c r="L915" s="9">
        <f t="shared" si="15"/>
        <v>504</v>
      </c>
    </row>
    <row r="916" spans="1:12" ht="15" customHeight="1" x14ac:dyDescent="0.2">
      <c r="A916" s="54">
        <v>46207</v>
      </c>
      <c r="F916" s="7" t="str">
        <f>IFERROR(VLOOKUP(G916, data!A:B, 2, FALSE), "Tienda")</f>
        <v>SC MEXICALI</v>
      </c>
      <c r="G916" s="1">
        <v>2304</v>
      </c>
      <c r="H916" s="2">
        <v>833</v>
      </c>
      <c r="I916" s="3" t="s">
        <v>6</v>
      </c>
      <c r="J916" s="4">
        <v>4</v>
      </c>
      <c r="K916" s="8">
        <f>IFERROR(VLOOKUP(I916, data!E:F, 2, FALSE), "Precio Unidad")</f>
        <v>167</v>
      </c>
      <c r="L916" s="9">
        <f t="shared" si="15"/>
        <v>668</v>
      </c>
    </row>
    <row r="917" spans="1:12" ht="15" customHeight="1" x14ac:dyDescent="0.2">
      <c r="A917" s="54">
        <v>46207</v>
      </c>
      <c r="F917" s="7" t="str">
        <f>IFERROR(VLOOKUP(G917, data!A:B, 2, FALSE), "Tienda")</f>
        <v>SC MEXICALI</v>
      </c>
      <c r="G917" s="1">
        <v>2304</v>
      </c>
      <c r="H917" s="2">
        <v>833</v>
      </c>
      <c r="I917" s="3" t="s">
        <v>7</v>
      </c>
      <c r="J917" s="4">
        <v>6</v>
      </c>
      <c r="K917" s="8">
        <f>IFERROR(VLOOKUP(I917, data!E:F, 2, FALSE), "Precio Unidad")</f>
        <v>113</v>
      </c>
      <c r="L917" s="9">
        <f t="shared" si="15"/>
        <v>678</v>
      </c>
    </row>
    <row r="918" spans="1:12" ht="15" customHeight="1" x14ac:dyDescent="0.2">
      <c r="A918" s="54">
        <v>46207</v>
      </c>
      <c r="F918" s="7" t="str">
        <f>IFERROR(VLOOKUP(G918, data!A:B, 2, FALSE), "Tienda")</f>
        <v>SC MEXICALI</v>
      </c>
      <c r="G918" s="1">
        <v>2304</v>
      </c>
      <c r="H918" s="2">
        <v>833</v>
      </c>
      <c r="I918" s="3" t="s">
        <v>10</v>
      </c>
      <c r="J918" s="4">
        <v>8</v>
      </c>
      <c r="K918" s="8">
        <f>IFERROR(VLOOKUP(I918, data!E:F, 2, FALSE), "Precio Unidad")</f>
        <v>151</v>
      </c>
      <c r="L918" s="9">
        <f t="shared" si="15"/>
        <v>1208</v>
      </c>
    </row>
    <row r="919" spans="1:12" ht="15" customHeight="1" x14ac:dyDescent="0.2">
      <c r="A919" s="54">
        <v>46207</v>
      </c>
      <c r="F919" s="7" t="str">
        <f>IFERROR(VLOOKUP(G919, data!A:B, 2, FALSE), "Tienda")</f>
        <v>SC MEXICALI</v>
      </c>
      <c r="G919" s="1">
        <v>2304</v>
      </c>
      <c r="H919" s="2">
        <v>833</v>
      </c>
      <c r="I919" s="3" t="s">
        <v>12</v>
      </c>
      <c r="J919" s="4">
        <v>10</v>
      </c>
      <c r="K919" s="8">
        <f>IFERROR(VLOOKUP(I919, data!E:F, 2, FALSE), "Precio Unidad")</f>
        <v>95</v>
      </c>
      <c r="L919" s="9">
        <f t="shared" si="15"/>
        <v>950</v>
      </c>
    </row>
    <row r="920" spans="1:12" ht="15" customHeight="1" x14ac:dyDescent="0.2">
      <c r="A920" s="54">
        <v>46207</v>
      </c>
      <c r="F920" s="7" t="str">
        <f>IFERROR(VLOOKUP(G920, data!A:B, 2, FALSE), "Tienda")</f>
        <v>SC MEXICALI</v>
      </c>
      <c r="G920" s="1">
        <v>2304</v>
      </c>
      <c r="H920" s="2">
        <v>833</v>
      </c>
      <c r="I920" s="3" t="s">
        <v>13</v>
      </c>
      <c r="J920" s="4">
        <v>16</v>
      </c>
      <c r="K920" s="8">
        <f>IFERROR(VLOOKUP(I920, data!E:F, 2, FALSE), "Precio Unidad")</f>
        <v>63</v>
      </c>
      <c r="L920" s="9">
        <f t="shared" si="15"/>
        <v>1008</v>
      </c>
    </row>
    <row r="921" spans="1:12" ht="15" customHeight="1" x14ac:dyDescent="0.2">
      <c r="A921" s="54">
        <v>46207</v>
      </c>
      <c r="F921" s="7" t="str">
        <f>IFERROR(VLOOKUP(G921, data!A:B, 2, FALSE), "Tienda")</f>
        <v>SC MEXICALI NOVENA</v>
      </c>
      <c r="G921" s="1">
        <v>1617</v>
      </c>
      <c r="H921" s="2">
        <v>834</v>
      </c>
      <c r="I921" s="3" t="s">
        <v>6</v>
      </c>
      <c r="J921" s="4">
        <v>8</v>
      </c>
      <c r="K921" s="8">
        <f>IFERROR(VLOOKUP(I921, data!E:F, 2, FALSE), "Precio Unidad")</f>
        <v>167</v>
      </c>
      <c r="L921" s="9">
        <f t="shared" si="15"/>
        <v>1336</v>
      </c>
    </row>
    <row r="922" spans="1:12" ht="15" customHeight="1" x14ac:dyDescent="0.2">
      <c r="A922" s="54">
        <v>46207</v>
      </c>
      <c r="F922" s="7" t="str">
        <f>IFERROR(VLOOKUP(G922, data!A:B, 2, FALSE), "Tienda")</f>
        <v>SC MEXICALI NOVENA</v>
      </c>
      <c r="G922" s="1">
        <v>1617</v>
      </c>
      <c r="H922" s="2">
        <v>834</v>
      </c>
      <c r="I922" s="3" t="s">
        <v>7</v>
      </c>
      <c r="J922" s="4">
        <v>10</v>
      </c>
      <c r="K922" s="8">
        <f>IFERROR(VLOOKUP(I922, data!E:F, 2, FALSE), "Precio Unidad")</f>
        <v>113</v>
      </c>
      <c r="L922" s="9">
        <f t="shared" si="15"/>
        <v>1130</v>
      </c>
    </row>
    <row r="923" spans="1:12" ht="15" customHeight="1" x14ac:dyDescent="0.2">
      <c r="A923" s="54">
        <v>46207</v>
      </c>
      <c r="F923" s="7" t="str">
        <f>IFERROR(VLOOKUP(G923, data!A:B, 2, FALSE), "Tienda")</f>
        <v>SC MEXICALI NOVENA</v>
      </c>
      <c r="G923" s="1">
        <v>1617</v>
      </c>
      <c r="H923" s="2">
        <v>834</v>
      </c>
      <c r="I923" s="3" t="s">
        <v>10</v>
      </c>
      <c r="J923" s="4">
        <v>16</v>
      </c>
      <c r="K923" s="8">
        <f>IFERROR(VLOOKUP(I923, data!E:F, 2, FALSE), "Precio Unidad")</f>
        <v>151</v>
      </c>
      <c r="L923" s="9">
        <f t="shared" si="15"/>
        <v>2416</v>
      </c>
    </row>
    <row r="924" spans="1:12" ht="15" customHeight="1" x14ac:dyDescent="0.2">
      <c r="A924" s="54">
        <v>46207</v>
      </c>
      <c r="F924" s="7" t="str">
        <f>IFERROR(VLOOKUP(G924, data!A:B, 2, FALSE), "Tienda")</f>
        <v>SC MEXICALI NOVENA</v>
      </c>
      <c r="G924" s="1">
        <v>1617</v>
      </c>
      <c r="H924" s="2">
        <v>834</v>
      </c>
      <c r="I924" s="3" t="s">
        <v>11</v>
      </c>
      <c r="J924" s="4">
        <v>6</v>
      </c>
      <c r="K924" s="8">
        <f>IFERROR(VLOOKUP(I924, data!E:F, 2, FALSE), "Precio Unidad")</f>
        <v>177</v>
      </c>
      <c r="L924" s="9">
        <f t="shared" si="15"/>
        <v>1062</v>
      </c>
    </row>
    <row r="925" spans="1:12" ht="15" customHeight="1" x14ac:dyDescent="0.2">
      <c r="A925" s="54">
        <v>46207</v>
      </c>
      <c r="F925" s="7" t="str">
        <f>IFERROR(VLOOKUP(G925, data!A:B, 2, FALSE), "Tienda")</f>
        <v>SC MEXICALI NOVENA</v>
      </c>
      <c r="G925" s="1">
        <v>1617</v>
      </c>
      <c r="H925" s="2">
        <v>834</v>
      </c>
      <c r="I925" s="3" t="s">
        <v>12</v>
      </c>
      <c r="J925" s="4">
        <v>20</v>
      </c>
      <c r="K925" s="8">
        <f>IFERROR(VLOOKUP(I925, data!E:F, 2, FALSE), "Precio Unidad")</f>
        <v>95</v>
      </c>
      <c r="L925" s="9">
        <f t="shared" si="15"/>
        <v>1900</v>
      </c>
    </row>
    <row r="926" spans="1:12" ht="15" customHeight="1" x14ac:dyDescent="0.2">
      <c r="A926" s="54">
        <v>46207</v>
      </c>
      <c r="F926" s="7" t="str">
        <f>IFERROR(VLOOKUP(G926, data!A:B, 2, FALSE), "Tienda")</f>
        <v>SC PLAZA SAN PEDRO</v>
      </c>
      <c r="G926" s="1">
        <v>1140</v>
      </c>
      <c r="H926" s="2">
        <v>835</v>
      </c>
      <c r="I926" s="3" t="s">
        <v>6</v>
      </c>
      <c r="J926" s="4">
        <v>4</v>
      </c>
      <c r="K926" s="8">
        <f>IFERROR(VLOOKUP(I926, data!E:F, 2, FALSE), "Precio Unidad")</f>
        <v>167</v>
      </c>
      <c r="L926" s="9">
        <f t="shared" si="15"/>
        <v>668</v>
      </c>
    </row>
    <row r="927" spans="1:12" ht="15" customHeight="1" x14ac:dyDescent="0.2">
      <c r="A927" s="54">
        <v>46207</v>
      </c>
      <c r="F927" s="7" t="str">
        <f>IFERROR(VLOOKUP(G927, data!A:B, 2, FALSE), "Tienda")</f>
        <v>SC PLAZA SAN PEDRO</v>
      </c>
      <c r="G927" s="1">
        <v>1140</v>
      </c>
      <c r="H927" s="2">
        <v>835</v>
      </c>
      <c r="I927" s="3" t="s">
        <v>7</v>
      </c>
      <c r="J927" s="4">
        <v>6</v>
      </c>
      <c r="K927" s="8">
        <f>IFERROR(VLOOKUP(I927, data!E:F, 2, FALSE), "Precio Unidad")</f>
        <v>113</v>
      </c>
      <c r="L927" s="9">
        <f t="shared" si="15"/>
        <v>678</v>
      </c>
    </row>
    <row r="928" spans="1:12" ht="15" customHeight="1" x14ac:dyDescent="0.2">
      <c r="A928" s="54">
        <v>46207</v>
      </c>
      <c r="F928" s="7" t="str">
        <f>IFERROR(VLOOKUP(G928, data!A:B, 2, FALSE), "Tienda")</f>
        <v>SC PLAZA SAN PEDRO</v>
      </c>
      <c r="G928" s="1">
        <v>1140</v>
      </c>
      <c r="H928" s="2">
        <v>835</v>
      </c>
      <c r="I928" s="3" t="s">
        <v>10</v>
      </c>
      <c r="J928" s="4">
        <v>8</v>
      </c>
      <c r="K928" s="8">
        <f>IFERROR(VLOOKUP(I928, data!E:F, 2, FALSE), "Precio Unidad")</f>
        <v>151</v>
      </c>
      <c r="L928" s="9">
        <f t="shared" si="15"/>
        <v>1208</v>
      </c>
    </row>
    <row r="929" spans="1:12" ht="15" customHeight="1" x14ac:dyDescent="0.2">
      <c r="A929" s="54">
        <v>46207</v>
      </c>
      <c r="F929" s="7" t="str">
        <f>IFERROR(VLOOKUP(G929, data!A:B, 2, FALSE), "Tienda")</f>
        <v>SC PLAZA SAN PEDRO</v>
      </c>
      <c r="G929" s="1">
        <v>1140</v>
      </c>
      <c r="H929" s="2">
        <v>835</v>
      </c>
      <c r="I929" s="3" t="s">
        <v>12</v>
      </c>
      <c r="J929" s="4">
        <v>10</v>
      </c>
      <c r="K929" s="8">
        <f>IFERROR(VLOOKUP(I929, data!E:F, 2, FALSE), "Precio Unidad")</f>
        <v>95</v>
      </c>
      <c r="L929" s="9">
        <f t="shared" si="15"/>
        <v>950</v>
      </c>
    </row>
    <row r="930" spans="1:12" ht="15" customHeight="1" x14ac:dyDescent="0.2">
      <c r="A930" s="54">
        <v>46207</v>
      </c>
      <c r="F930" s="7" t="str">
        <f>IFERROR(VLOOKUP(G930, data!A:B, 2, FALSE), "Tienda")</f>
        <v>SC PLAZA SAN PEDRO</v>
      </c>
      <c r="G930" s="1">
        <v>1140</v>
      </c>
      <c r="H930" s="2">
        <v>835</v>
      </c>
      <c r="I930" s="3" t="s">
        <v>13</v>
      </c>
      <c r="J930" s="4">
        <v>16</v>
      </c>
      <c r="K930" s="8">
        <f>IFERROR(VLOOKUP(I930, data!E:F, 2, FALSE), "Precio Unidad")</f>
        <v>63</v>
      </c>
      <c r="L930" s="9">
        <f t="shared" si="15"/>
        <v>1008</v>
      </c>
    </row>
    <row r="931" spans="1:12" ht="15" customHeight="1" x14ac:dyDescent="0.2">
      <c r="A931" s="54">
        <v>46209</v>
      </c>
      <c r="F931" s="7" t="str">
        <f>IFERROR(VLOOKUP(G931, data!A:B, 2, FALSE), "Tienda")</f>
        <v>SC TECATE GARITA</v>
      </c>
      <c r="G931" s="1">
        <v>5295</v>
      </c>
      <c r="H931" s="2">
        <v>836</v>
      </c>
      <c r="I931" s="3" t="s">
        <v>7</v>
      </c>
      <c r="J931" s="4">
        <v>10</v>
      </c>
      <c r="K931" s="8">
        <f>IFERROR(VLOOKUP(I931, data!E:F, 2, FALSE), "Precio Unidad")</f>
        <v>113</v>
      </c>
      <c r="L931" s="9">
        <f t="shared" si="15"/>
        <v>1130</v>
      </c>
    </row>
    <row r="932" spans="1:12" ht="15" customHeight="1" x14ac:dyDescent="0.2">
      <c r="A932" s="54">
        <v>46209</v>
      </c>
      <c r="F932" s="7" t="str">
        <f>IFERROR(VLOOKUP(G932, data!A:B, 2, FALSE), "Tienda")</f>
        <v>SC TECATE GARITA</v>
      </c>
      <c r="G932" s="1">
        <v>5295</v>
      </c>
      <c r="H932" s="2">
        <v>836</v>
      </c>
      <c r="I932" s="3" t="s">
        <v>10</v>
      </c>
      <c r="J932" s="4">
        <v>8</v>
      </c>
      <c r="K932" s="8">
        <f>IFERROR(VLOOKUP(I932, data!E:F, 2, FALSE), "Precio Unidad")</f>
        <v>151</v>
      </c>
      <c r="L932" s="9">
        <f t="shared" si="15"/>
        <v>1208</v>
      </c>
    </row>
    <row r="933" spans="1:12" ht="15" customHeight="1" x14ac:dyDescent="0.2">
      <c r="A933" s="54">
        <v>46209</v>
      </c>
      <c r="F933" s="7" t="str">
        <f>IFERROR(VLOOKUP(G933, data!A:B, 2, FALSE), "Tienda")</f>
        <v>SC TECATE GARITA</v>
      </c>
      <c r="G933" s="1">
        <v>5295</v>
      </c>
      <c r="H933" s="2">
        <v>836</v>
      </c>
      <c r="I933" s="3" t="s">
        <v>12</v>
      </c>
      <c r="J933" s="4">
        <v>10</v>
      </c>
      <c r="K933" s="8">
        <f>IFERROR(VLOOKUP(I933, data!E:F, 2, FALSE), "Precio Unidad")</f>
        <v>95</v>
      </c>
      <c r="L933" s="9">
        <f t="shared" si="15"/>
        <v>950</v>
      </c>
    </row>
    <row r="934" spans="1:12" ht="15" customHeight="1" x14ac:dyDescent="0.2">
      <c r="A934" s="54">
        <v>46209</v>
      </c>
      <c r="F934" s="7" t="str">
        <f>IFERROR(VLOOKUP(G934, data!A:B, 2, FALSE), "Tienda")</f>
        <v>SC TECATE GARITA</v>
      </c>
      <c r="G934" s="1">
        <v>5295</v>
      </c>
      <c r="H934" s="2">
        <v>836</v>
      </c>
      <c r="I934" s="3" t="s">
        <v>13</v>
      </c>
      <c r="J934" s="4">
        <v>16</v>
      </c>
      <c r="K934" s="8">
        <f>IFERROR(VLOOKUP(I934, data!E:F, 2, FALSE), "Precio Unidad")</f>
        <v>63</v>
      </c>
      <c r="L934" s="9">
        <f t="shared" si="15"/>
        <v>1008</v>
      </c>
    </row>
    <row r="935" spans="1:12" ht="15" customHeight="1" x14ac:dyDescent="0.2">
      <c r="A935" s="54">
        <v>46209</v>
      </c>
      <c r="F935" s="7" t="str">
        <f>IFERROR(VLOOKUP(G935, data!A:B, 2, FALSE), "Tienda")</f>
        <v>SC TIJUANA HIPODROMO</v>
      </c>
      <c r="G935" s="1">
        <v>4011</v>
      </c>
      <c r="H935" s="2">
        <v>839</v>
      </c>
      <c r="I935" s="3" t="s">
        <v>10</v>
      </c>
      <c r="J935" s="4">
        <v>8</v>
      </c>
      <c r="K935" s="8">
        <f>IFERROR(VLOOKUP(I935, data!E:F, 2, FALSE), "Precio Unidad")</f>
        <v>151</v>
      </c>
      <c r="L935" s="9">
        <f t="shared" si="15"/>
        <v>1208</v>
      </c>
    </row>
    <row r="936" spans="1:12" ht="15" customHeight="1" x14ac:dyDescent="0.2">
      <c r="A936" s="54">
        <v>46209</v>
      </c>
      <c r="F936" s="7" t="str">
        <f>IFERROR(VLOOKUP(G936, data!A:B, 2, FALSE), "Tienda")</f>
        <v>SC TIJUANA HIPODROMO</v>
      </c>
      <c r="G936" s="1">
        <v>4011</v>
      </c>
      <c r="H936" s="2">
        <v>839</v>
      </c>
      <c r="I936" s="3" t="s">
        <v>12</v>
      </c>
      <c r="J936" s="4">
        <v>10</v>
      </c>
      <c r="K936" s="8">
        <f>IFERROR(VLOOKUP(I936, data!E:F, 2, FALSE), "Precio Unidad")</f>
        <v>95</v>
      </c>
      <c r="L936" s="9">
        <f t="shared" si="15"/>
        <v>950</v>
      </c>
    </row>
    <row r="937" spans="1:12" ht="15" customHeight="1" x14ac:dyDescent="0.2">
      <c r="A937" s="54">
        <v>46209</v>
      </c>
      <c r="F937" s="7" t="str">
        <f>IFERROR(VLOOKUP(G937, data!A:B, 2, FALSE), "Tienda")</f>
        <v>SC TIJUANA HIPODROMO</v>
      </c>
      <c r="G937" s="1">
        <v>4011</v>
      </c>
      <c r="H937" s="2">
        <v>839</v>
      </c>
      <c r="I937" s="3" t="s">
        <v>13</v>
      </c>
      <c r="J937" s="4">
        <v>16</v>
      </c>
      <c r="K937" s="8">
        <f>IFERROR(VLOOKUP(I937, data!E:F, 2, FALSE), "Precio Unidad")</f>
        <v>63</v>
      </c>
      <c r="L937" s="9">
        <f t="shared" si="15"/>
        <v>1008</v>
      </c>
    </row>
    <row r="938" spans="1:12" ht="15" customHeight="1" x14ac:dyDescent="0.2">
      <c r="A938" s="54">
        <v>46209</v>
      </c>
      <c r="F938" s="7" t="str">
        <f>IFERROR(VLOOKUP(G938, data!A:B, 2, FALSE), "Tienda")</f>
        <v>SC ROSARITO</v>
      </c>
      <c r="G938" s="1">
        <v>4187</v>
      </c>
      <c r="H938" s="2">
        <v>840</v>
      </c>
      <c r="I938" s="3" t="s">
        <v>6</v>
      </c>
      <c r="J938" s="4">
        <v>4</v>
      </c>
      <c r="K938" s="8">
        <f>IFERROR(VLOOKUP(I938, data!E:F, 2, FALSE), "Precio Unidad")</f>
        <v>167</v>
      </c>
      <c r="L938" s="9">
        <f t="shared" si="15"/>
        <v>668</v>
      </c>
    </row>
    <row r="939" spans="1:12" ht="15" customHeight="1" x14ac:dyDescent="0.2">
      <c r="A939" s="54">
        <v>46209</v>
      </c>
      <c r="F939" s="7" t="str">
        <f>IFERROR(VLOOKUP(G939, data!A:B, 2, FALSE), "Tienda")</f>
        <v>SC ROSARITO</v>
      </c>
      <c r="G939" s="1">
        <v>4187</v>
      </c>
      <c r="H939" s="2">
        <v>840</v>
      </c>
      <c r="I939" s="3" t="s">
        <v>7</v>
      </c>
      <c r="J939" s="4">
        <v>6</v>
      </c>
      <c r="K939" s="8">
        <f>IFERROR(VLOOKUP(I939, data!E:F, 2, FALSE), "Precio Unidad")</f>
        <v>113</v>
      </c>
      <c r="L939" s="9">
        <f t="shared" si="15"/>
        <v>678</v>
      </c>
    </row>
    <row r="940" spans="1:12" ht="15" customHeight="1" x14ac:dyDescent="0.2">
      <c r="A940" s="54">
        <v>46209</v>
      </c>
      <c r="F940" s="7" t="str">
        <f>IFERROR(VLOOKUP(G940, data!A:B, 2, FALSE), "Tienda")</f>
        <v>SC ROSARITO</v>
      </c>
      <c r="G940" s="1">
        <v>4187</v>
      </c>
      <c r="H940" s="2">
        <v>840</v>
      </c>
      <c r="I940" s="3" t="s">
        <v>12</v>
      </c>
      <c r="J940" s="4">
        <v>10</v>
      </c>
      <c r="K940" s="8">
        <f>IFERROR(VLOOKUP(I940, data!E:F, 2, FALSE), "Precio Unidad")</f>
        <v>95</v>
      </c>
      <c r="L940" s="9">
        <f t="shared" si="15"/>
        <v>950</v>
      </c>
    </row>
    <row r="941" spans="1:12" ht="15" customHeight="1" x14ac:dyDescent="0.2">
      <c r="A941" s="54">
        <v>46209</v>
      </c>
      <c r="F941" s="7" t="str">
        <f>IFERROR(VLOOKUP(G941, data!A:B, 2, FALSE), "Tienda")</f>
        <v>SC ROSARITO</v>
      </c>
      <c r="G941" s="1">
        <v>4187</v>
      </c>
      <c r="H941" s="2">
        <v>840</v>
      </c>
      <c r="I941" s="3" t="s">
        <v>13</v>
      </c>
      <c r="J941" s="4">
        <v>16</v>
      </c>
      <c r="K941" s="8">
        <f>IFERROR(VLOOKUP(I941, data!E:F, 2, FALSE), "Precio Unidad")</f>
        <v>63</v>
      </c>
      <c r="L941" s="9">
        <f t="shared" si="15"/>
        <v>1008</v>
      </c>
    </row>
    <row r="942" spans="1:12" ht="15" customHeight="1" x14ac:dyDescent="0.2">
      <c r="A942" s="54">
        <v>46209</v>
      </c>
      <c r="F942" s="7" t="str">
        <f>IFERROR(VLOOKUP(G942, data!A:B, 2, FALSE), "Tienda")</f>
        <v>SC TIJUANA 2000</v>
      </c>
      <c r="G942" s="1">
        <v>4155</v>
      </c>
      <c r="H942" s="2">
        <v>841</v>
      </c>
      <c r="I942" s="3" t="s">
        <v>7</v>
      </c>
      <c r="J942" s="4">
        <v>10</v>
      </c>
      <c r="K942" s="8">
        <f>IFERROR(VLOOKUP(I942, data!E:F, 2, FALSE), "Precio Unidad")</f>
        <v>113</v>
      </c>
      <c r="L942" s="9">
        <f t="shared" si="15"/>
        <v>1130</v>
      </c>
    </row>
    <row r="943" spans="1:12" ht="15" customHeight="1" x14ac:dyDescent="0.2">
      <c r="A943" s="54">
        <v>46209</v>
      </c>
      <c r="F943" s="7" t="str">
        <f>IFERROR(VLOOKUP(G943, data!A:B, 2, FALSE), "Tienda")</f>
        <v>SC TIJUANA 2000</v>
      </c>
      <c r="G943" s="1">
        <v>4155</v>
      </c>
      <c r="H943" s="2">
        <v>841</v>
      </c>
      <c r="I943" s="3" t="s">
        <v>10</v>
      </c>
      <c r="J943" s="4">
        <v>8</v>
      </c>
      <c r="K943" s="8">
        <f>IFERROR(VLOOKUP(I943, data!E:F, 2, FALSE), "Precio Unidad")</f>
        <v>151</v>
      </c>
      <c r="L943" s="9">
        <f t="shared" si="15"/>
        <v>1208</v>
      </c>
    </row>
    <row r="944" spans="1:12" ht="15" customHeight="1" x14ac:dyDescent="0.2">
      <c r="A944" s="54">
        <v>46209</v>
      </c>
      <c r="F944" s="7" t="str">
        <f>IFERROR(VLOOKUP(G944, data!A:B, 2, FALSE), "Tienda")</f>
        <v>SC TIJUANA 2000</v>
      </c>
      <c r="G944" s="1">
        <v>4155</v>
      </c>
      <c r="H944" s="2">
        <v>841</v>
      </c>
      <c r="I944" s="3" t="s">
        <v>13</v>
      </c>
      <c r="J944" s="4">
        <v>16</v>
      </c>
      <c r="K944" s="8">
        <f>IFERROR(VLOOKUP(I944, data!E:F, 2, FALSE), "Precio Unidad")</f>
        <v>63</v>
      </c>
      <c r="L944" s="9">
        <f t="shared" si="15"/>
        <v>1008</v>
      </c>
    </row>
    <row r="945" spans="1:12" ht="15" customHeight="1" x14ac:dyDescent="0.2">
      <c r="A945" s="54">
        <v>46209</v>
      </c>
      <c r="F945" s="7" t="str">
        <f>IFERROR(VLOOKUP(G945, data!A:B, 2, FALSE), "Tienda")</f>
        <v>SC DIAZ ORDAZ</v>
      </c>
      <c r="G945" s="1">
        <v>3664</v>
      </c>
      <c r="H945" s="2">
        <v>842</v>
      </c>
      <c r="I945" s="3" t="s">
        <v>12</v>
      </c>
      <c r="J945" s="4">
        <v>10</v>
      </c>
      <c r="K945" s="8">
        <f>IFERROR(VLOOKUP(I945, data!E:F, 2, FALSE), "Precio Unidad")</f>
        <v>95</v>
      </c>
      <c r="L945" s="9">
        <f t="shared" si="15"/>
        <v>950</v>
      </c>
    </row>
    <row r="946" spans="1:12" ht="15" customHeight="1" x14ac:dyDescent="0.2">
      <c r="A946" s="54">
        <v>46209</v>
      </c>
      <c r="F946" s="7" t="str">
        <f>IFERROR(VLOOKUP(G946, data!A:B, 2, FALSE), "Tienda")</f>
        <v>SC DIAZ ORDAZ</v>
      </c>
      <c r="G946" s="1">
        <v>3664</v>
      </c>
      <c r="H946" s="2">
        <v>842</v>
      </c>
      <c r="I946" s="3" t="s">
        <v>13</v>
      </c>
      <c r="J946" s="4">
        <v>16</v>
      </c>
      <c r="K946" s="8">
        <f>IFERROR(VLOOKUP(I946, data!E:F, 2, FALSE), "Precio Unidad")</f>
        <v>63</v>
      </c>
      <c r="L946" s="9">
        <f t="shared" si="15"/>
        <v>1008</v>
      </c>
    </row>
    <row r="947" spans="1:12" ht="15" customHeight="1" x14ac:dyDescent="0.2">
      <c r="A947" s="54">
        <v>46209</v>
      </c>
      <c r="F947" s="7" t="str">
        <f>IFERROR(VLOOKUP(G947, data!A:B, 2, FALSE), "Tienda")</f>
        <v>SC MACROPLAZA INSURGENTES</v>
      </c>
      <c r="G947" s="1">
        <v>2023</v>
      </c>
      <c r="H947" s="2">
        <v>843</v>
      </c>
      <c r="I947" s="3" t="s">
        <v>10</v>
      </c>
      <c r="J947" s="4">
        <v>8</v>
      </c>
      <c r="K947" s="8">
        <f>IFERROR(VLOOKUP(I947, data!E:F, 2, FALSE), "Precio Unidad")</f>
        <v>151</v>
      </c>
      <c r="L947" s="9">
        <f t="shared" si="15"/>
        <v>1208</v>
      </c>
    </row>
    <row r="948" spans="1:12" ht="15" customHeight="1" x14ac:dyDescent="0.2">
      <c r="A948" s="54">
        <v>46209</v>
      </c>
      <c r="F948" s="7" t="str">
        <f>IFERROR(VLOOKUP(G948, data!A:B, 2, FALSE), "Tienda")</f>
        <v>SC MACROPLAZA INSURGENTES</v>
      </c>
      <c r="G948" s="1">
        <v>2023</v>
      </c>
      <c r="H948" s="2">
        <v>843</v>
      </c>
      <c r="I948" s="3" t="s">
        <v>12</v>
      </c>
      <c r="J948" s="4">
        <v>10</v>
      </c>
      <c r="K948" s="8">
        <f>IFERROR(VLOOKUP(I948, data!E:F, 2, FALSE), "Precio Unidad")</f>
        <v>95</v>
      </c>
      <c r="L948" s="9">
        <f t="shared" si="15"/>
        <v>950</v>
      </c>
    </row>
    <row r="949" spans="1:12" ht="15" customHeight="1" x14ac:dyDescent="0.2">
      <c r="A949" s="54">
        <v>46209</v>
      </c>
      <c r="F949" s="7" t="str">
        <f>IFERROR(VLOOKUP(G949, data!A:B, 2, FALSE), "Tienda")</f>
        <v>SC MACROPLAZA INSURGENTES</v>
      </c>
      <c r="G949" s="1">
        <v>2023</v>
      </c>
      <c r="H949" s="2">
        <v>843</v>
      </c>
      <c r="I949" s="3" t="s">
        <v>13</v>
      </c>
      <c r="J949" s="4">
        <v>16</v>
      </c>
      <c r="K949" s="8">
        <f>IFERROR(VLOOKUP(I949, data!E:F, 2, FALSE), "Precio Unidad")</f>
        <v>63</v>
      </c>
      <c r="L949" s="9">
        <f t="shared" si="15"/>
        <v>1008</v>
      </c>
    </row>
    <row r="950" spans="1:12" ht="15" customHeight="1" x14ac:dyDescent="0.2">
      <c r="A950" s="54">
        <v>46209</v>
      </c>
      <c r="F950" s="7" t="str">
        <f>IFERROR(VLOOKUP(G950, data!A:B, 2, FALSE), "Tienda")</f>
        <v>SC LOMAS DE SANTA FE</v>
      </c>
      <c r="G950" s="1">
        <v>190</v>
      </c>
      <c r="H950" s="2">
        <v>844</v>
      </c>
      <c r="I950" s="3" t="s">
        <v>7</v>
      </c>
      <c r="J950" s="4">
        <v>10</v>
      </c>
      <c r="K950" s="8">
        <f>IFERROR(VLOOKUP(I950, data!E:F, 2, FALSE), "Precio Unidad")</f>
        <v>113</v>
      </c>
      <c r="L950" s="9">
        <f t="shared" si="15"/>
        <v>1130</v>
      </c>
    </row>
    <row r="951" spans="1:12" ht="15" customHeight="1" x14ac:dyDescent="0.2">
      <c r="A951" s="54">
        <v>46209</v>
      </c>
      <c r="F951" s="7" t="str">
        <f>IFERROR(VLOOKUP(G951, data!A:B, 2, FALSE), "Tienda")</f>
        <v>SC LOMAS DE SANTA FE</v>
      </c>
      <c r="G951" s="1">
        <v>190</v>
      </c>
      <c r="H951" s="2">
        <v>844</v>
      </c>
      <c r="I951" s="3" t="s">
        <v>12</v>
      </c>
      <c r="J951" s="4">
        <v>10</v>
      </c>
      <c r="K951" s="8">
        <f>IFERROR(VLOOKUP(I951, data!E:F, 2, FALSE), "Precio Unidad")</f>
        <v>95</v>
      </c>
      <c r="L951" s="9">
        <f t="shared" si="15"/>
        <v>950</v>
      </c>
    </row>
    <row r="952" spans="1:12" ht="15" customHeight="1" x14ac:dyDescent="0.2">
      <c r="A952" s="54">
        <v>46209</v>
      </c>
      <c r="F952" s="7" t="str">
        <f>IFERROR(VLOOKUP(G952, data!A:B, 2, FALSE), "Tienda")</f>
        <v>SC LOMAS DE SANTA FE</v>
      </c>
      <c r="G952" s="1">
        <v>190</v>
      </c>
      <c r="H952" s="2">
        <v>844</v>
      </c>
      <c r="I952" s="3" t="s">
        <v>13</v>
      </c>
      <c r="J952" s="4">
        <v>16</v>
      </c>
      <c r="K952" s="8">
        <f>IFERROR(VLOOKUP(I952, data!E:F, 2, FALSE), "Precio Unidad")</f>
        <v>63</v>
      </c>
      <c r="L952" s="9">
        <f t="shared" si="15"/>
        <v>1008</v>
      </c>
    </row>
    <row r="953" spans="1:12" ht="15" customHeight="1" x14ac:dyDescent="0.2">
      <c r="A953" s="54">
        <v>46209</v>
      </c>
      <c r="F953" s="7" t="str">
        <f>IFERROR(VLOOKUP(G953, data!A:B, 2, FALSE), "Tienda")</f>
        <v>SC PACIFICO</v>
      </c>
      <c r="G953" s="1">
        <v>1616</v>
      </c>
      <c r="H953" s="2">
        <v>845</v>
      </c>
      <c r="I953" s="3" t="s">
        <v>10</v>
      </c>
      <c r="J953" s="4">
        <v>8</v>
      </c>
      <c r="K953" s="8">
        <f>IFERROR(VLOOKUP(I953, data!E:F, 2, FALSE), "Precio Unidad")</f>
        <v>151</v>
      </c>
      <c r="L953" s="9">
        <f t="shared" si="15"/>
        <v>1208</v>
      </c>
    </row>
    <row r="954" spans="1:12" ht="15" customHeight="1" x14ac:dyDescent="0.2">
      <c r="A954" s="54">
        <v>46209</v>
      </c>
      <c r="F954" s="7" t="str">
        <f>IFERROR(VLOOKUP(G954, data!A:B, 2, FALSE), "Tienda")</f>
        <v>SC PACIFICO</v>
      </c>
      <c r="G954" s="1">
        <v>1616</v>
      </c>
      <c r="H954" s="2">
        <v>845</v>
      </c>
      <c r="I954" s="3" t="s">
        <v>13</v>
      </c>
      <c r="J954" s="4">
        <v>16</v>
      </c>
      <c r="K954" s="8">
        <f>IFERROR(VLOOKUP(I954, data!E:F, 2, FALSE), "Precio Unidad")</f>
        <v>63</v>
      </c>
      <c r="L954" s="9">
        <f t="shared" si="15"/>
        <v>1008</v>
      </c>
    </row>
    <row r="955" spans="1:12" ht="15" customHeight="1" x14ac:dyDescent="0.2">
      <c r="A955" s="54">
        <v>46209</v>
      </c>
      <c r="F955" s="7" t="str">
        <f>IFERROR(VLOOKUP(G955, data!A:B, 2, FALSE), "Tienda")</f>
        <v>SC PLAYAS DE TIJUANA</v>
      </c>
      <c r="G955" s="1">
        <v>1613</v>
      </c>
      <c r="H955" s="2">
        <v>846</v>
      </c>
      <c r="I955" s="3" t="s">
        <v>6</v>
      </c>
      <c r="J955" s="4">
        <v>8</v>
      </c>
      <c r="K955" s="8">
        <f>IFERROR(VLOOKUP(I955, data!E:F, 2, FALSE), "Precio Unidad")</f>
        <v>167</v>
      </c>
      <c r="L955" s="9">
        <f t="shared" si="15"/>
        <v>1336</v>
      </c>
    </row>
    <row r="956" spans="1:12" ht="15" customHeight="1" x14ac:dyDescent="0.2">
      <c r="A956" s="54">
        <v>46209</v>
      </c>
      <c r="F956" s="7" t="str">
        <f>IFERROR(VLOOKUP(G956, data!A:B, 2, FALSE), "Tienda")</f>
        <v>SC PLAYAS DE TIJUANA</v>
      </c>
      <c r="G956" s="1">
        <v>1613</v>
      </c>
      <c r="H956" s="2">
        <v>846</v>
      </c>
      <c r="I956" s="3" t="s">
        <v>10</v>
      </c>
      <c r="J956" s="4">
        <v>8</v>
      </c>
      <c r="K956" s="8">
        <f>IFERROR(VLOOKUP(I956, data!E:F, 2, FALSE), "Precio Unidad")</f>
        <v>151</v>
      </c>
      <c r="L956" s="9">
        <f t="shared" si="15"/>
        <v>1208</v>
      </c>
    </row>
    <row r="957" spans="1:12" ht="15" customHeight="1" x14ac:dyDescent="0.2">
      <c r="A957" s="54">
        <v>46209</v>
      </c>
      <c r="F957" s="7" t="str">
        <f>IFERROR(VLOOKUP(G957, data!A:B, 2, FALSE), "Tienda")</f>
        <v>SC PLAYAS DE TIJUANA</v>
      </c>
      <c r="G957" s="1">
        <v>1613</v>
      </c>
      <c r="H957" s="2">
        <v>846</v>
      </c>
      <c r="I957" s="3" t="s">
        <v>13</v>
      </c>
      <c r="J957" s="4">
        <v>16</v>
      </c>
      <c r="K957" s="8">
        <f>IFERROR(VLOOKUP(I957, data!E:F, 2, FALSE), "Precio Unidad")</f>
        <v>63</v>
      </c>
      <c r="L957" s="9">
        <f t="shared" si="15"/>
        <v>1008</v>
      </c>
    </row>
    <row r="958" spans="1:12" ht="15" customHeight="1" x14ac:dyDescent="0.2">
      <c r="A958" s="54">
        <v>46210</v>
      </c>
      <c r="F958" s="7" t="str">
        <f>IFERROR(VLOOKUP(G958, data!A:B, 2, FALSE), "Tienda")</f>
        <v>SC ENSENADA</v>
      </c>
      <c r="G958" s="1">
        <v>3015</v>
      </c>
      <c r="H958" s="2">
        <v>847</v>
      </c>
      <c r="I958" s="3" t="s">
        <v>10</v>
      </c>
      <c r="J958" s="4">
        <v>8</v>
      </c>
      <c r="K958" s="8">
        <f>IFERROR(VLOOKUP(I958, data!E:F, 2, FALSE), "Precio Unidad")</f>
        <v>151</v>
      </c>
      <c r="L958" s="9">
        <f t="shared" si="15"/>
        <v>1208</v>
      </c>
    </row>
    <row r="959" spans="1:12" ht="15" customHeight="1" x14ac:dyDescent="0.2">
      <c r="A959" s="54">
        <v>46210</v>
      </c>
      <c r="F959" s="7" t="str">
        <f>IFERROR(VLOOKUP(G959, data!A:B, 2, FALSE), "Tienda")</f>
        <v>SC ENSENADA</v>
      </c>
      <c r="G959" s="1">
        <v>3015</v>
      </c>
      <c r="H959" s="2">
        <v>847</v>
      </c>
      <c r="I959" s="3" t="s">
        <v>13</v>
      </c>
      <c r="J959" s="4">
        <v>16</v>
      </c>
      <c r="K959" s="8">
        <f>IFERROR(VLOOKUP(I959, data!E:F, 2, FALSE), "Precio Unidad")</f>
        <v>63</v>
      </c>
      <c r="L959" s="9">
        <f t="shared" si="15"/>
        <v>1008</v>
      </c>
    </row>
    <row r="960" spans="1:12" ht="15" customHeight="1" x14ac:dyDescent="0.2">
      <c r="A960" s="54">
        <v>46210</v>
      </c>
      <c r="F960" s="7" t="str">
        <f>IFERROR(VLOOKUP(G960, data!A:B, 2, FALSE), "Tienda")</f>
        <v>SC ENSENADA CENTRO</v>
      </c>
      <c r="G960" s="1">
        <v>2947</v>
      </c>
      <c r="H960" s="2">
        <v>848</v>
      </c>
      <c r="I960" s="3" t="s">
        <v>10</v>
      </c>
      <c r="J960" s="4">
        <v>8</v>
      </c>
      <c r="K960" s="8">
        <f>IFERROR(VLOOKUP(I960, data!E:F, 2, FALSE), "Precio Unidad")</f>
        <v>151</v>
      </c>
      <c r="L960" s="9">
        <f t="shared" si="15"/>
        <v>1208</v>
      </c>
    </row>
    <row r="961" spans="1:12" ht="15" customHeight="1" x14ac:dyDescent="0.2">
      <c r="A961" s="54">
        <v>46210</v>
      </c>
      <c r="F961" s="7" t="str">
        <f>IFERROR(VLOOKUP(G961, data!A:B, 2, FALSE), "Tienda")</f>
        <v>SC ENSENADA CENTRO</v>
      </c>
      <c r="G961" s="1">
        <v>2947</v>
      </c>
      <c r="H961" s="2">
        <v>848</v>
      </c>
      <c r="I961" s="3" t="s">
        <v>13</v>
      </c>
      <c r="J961" s="4">
        <v>16</v>
      </c>
      <c r="K961" s="8">
        <f>IFERROR(VLOOKUP(I961, data!E:F, 2, FALSE), "Precio Unidad")</f>
        <v>63</v>
      </c>
      <c r="L961" s="9">
        <f t="shared" si="15"/>
        <v>1008</v>
      </c>
    </row>
    <row r="962" spans="1:12" ht="15" customHeight="1" x14ac:dyDescent="0.2">
      <c r="A962" s="54">
        <v>46211</v>
      </c>
      <c r="F962" s="7" t="str">
        <f>IFERROR(VLOOKUP(G962, data!A:B, 2, FALSE), "Tienda")</f>
        <v>SC NUEVO MEXICALI</v>
      </c>
      <c r="G962" s="1">
        <v>5041</v>
      </c>
      <c r="H962" s="2">
        <v>849</v>
      </c>
      <c r="I962" s="3" t="s">
        <v>7</v>
      </c>
      <c r="J962" s="4">
        <v>10</v>
      </c>
      <c r="K962" s="8">
        <f>IFERROR(VLOOKUP(I962, data!E:F, 2, FALSE), "Precio Unidad")</f>
        <v>113</v>
      </c>
      <c r="L962" s="9">
        <f t="shared" si="15"/>
        <v>1130</v>
      </c>
    </row>
    <row r="963" spans="1:12" ht="15" customHeight="1" x14ac:dyDescent="0.2">
      <c r="A963" s="54">
        <v>46211</v>
      </c>
      <c r="F963" s="7" t="str">
        <f>IFERROR(VLOOKUP(G963, data!A:B, 2, FALSE), "Tienda")</f>
        <v>SC NUEVO MEXICALI</v>
      </c>
      <c r="G963" s="1">
        <v>5041</v>
      </c>
      <c r="H963" s="2">
        <v>849</v>
      </c>
      <c r="I963" s="3" t="s">
        <v>10</v>
      </c>
      <c r="J963" s="4">
        <v>32</v>
      </c>
      <c r="K963" s="8">
        <f>IFERROR(VLOOKUP(I963, data!E:F, 2, FALSE), "Precio Unidad")</f>
        <v>151</v>
      </c>
      <c r="L963" s="9">
        <f t="shared" si="15"/>
        <v>4832</v>
      </c>
    </row>
    <row r="964" spans="1:12" ht="15" customHeight="1" x14ac:dyDescent="0.2">
      <c r="A964" s="54">
        <v>46211</v>
      </c>
      <c r="F964" s="7" t="str">
        <f>IFERROR(VLOOKUP(G964, data!A:B, 2, FALSE), "Tienda")</f>
        <v>SC NUEVO MEXICALI</v>
      </c>
      <c r="G964" s="1">
        <v>5041</v>
      </c>
      <c r="H964" s="2">
        <v>849</v>
      </c>
      <c r="I964" s="3" t="s">
        <v>11</v>
      </c>
      <c r="J964" s="4">
        <v>12</v>
      </c>
      <c r="K964" s="8">
        <f>IFERROR(VLOOKUP(I964, data!E:F, 2, FALSE), "Precio Unidad")</f>
        <v>177</v>
      </c>
      <c r="L964" s="9">
        <f t="shared" si="15"/>
        <v>2124</v>
      </c>
    </row>
    <row r="965" spans="1:12" ht="15" customHeight="1" x14ac:dyDescent="0.2">
      <c r="A965" s="54">
        <v>46211</v>
      </c>
      <c r="F965" s="7" t="str">
        <f>IFERROR(VLOOKUP(G965, data!A:B, 2, FALSE), "Tienda")</f>
        <v>SC NUEVO MEXICALI</v>
      </c>
      <c r="G965" s="1">
        <v>5041</v>
      </c>
      <c r="H965" s="2">
        <v>849</v>
      </c>
      <c r="I965" s="3" t="s">
        <v>12</v>
      </c>
      <c r="J965" s="4">
        <v>30</v>
      </c>
      <c r="K965" s="8">
        <f>IFERROR(VLOOKUP(I965, data!E:F, 2, FALSE), "Precio Unidad")</f>
        <v>95</v>
      </c>
      <c r="L965" s="9">
        <f t="shared" ref="L965:L1028" si="16">K965*J965</f>
        <v>2850</v>
      </c>
    </row>
    <row r="966" spans="1:12" ht="15" customHeight="1" x14ac:dyDescent="0.2">
      <c r="A966" s="54">
        <v>46211</v>
      </c>
      <c r="F966" s="7" t="str">
        <f>IFERROR(VLOOKUP(G966, data!A:B, 2, FALSE), "Tienda")</f>
        <v>SC NUEVO MEXICALI</v>
      </c>
      <c r="G966" s="1">
        <v>5041</v>
      </c>
      <c r="H966" s="2">
        <v>849</v>
      </c>
      <c r="I966" s="3" t="s">
        <v>13</v>
      </c>
      <c r="J966" s="4">
        <v>24</v>
      </c>
      <c r="K966" s="8">
        <f>IFERROR(VLOOKUP(I966, data!E:F, 2, FALSE), "Precio Unidad")</f>
        <v>63</v>
      </c>
      <c r="L966" s="9">
        <f t="shared" si="16"/>
        <v>1512</v>
      </c>
    </row>
    <row r="967" spans="1:12" ht="15" customHeight="1" x14ac:dyDescent="0.2">
      <c r="A967" s="54">
        <v>46211</v>
      </c>
      <c r="F967" s="7" t="str">
        <f>IFERROR(VLOOKUP(G967, data!A:B, 2, FALSE), "Tienda")</f>
        <v>SC GALERIAS DEL VALLE</v>
      </c>
      <c r="G967" s="1">
        <v>4026</v>
      </c>
      <c r="H967" s="2">
        <v>850</v>
      </c>
      <c r="I967" s="3" t="s">
        <v>10</v>
      </c>
      <c r="J967" s="4">
        <v>16</v>
      </c>
      <c r="K967" s="8">
        <f>IFERROR(VLOOKUP(I967, data!E:F, 2, FALSE), "Precio Unidad")</f>
        <v>151</v>
      </c>
      <c r="L967" s="9">
        <f t="shared" si="16"/>
        <v>2416</v>
      </c>
    </row>
    <row r="968" spans="1:12" ht="15" customHeight="1" x14ac:dyDescent="0.2">
      <c r="A968" s="54">
        <v>46211</v>
      </c>
      <c r="F968" s="7" t="str">
        <f>IFERROR(VLOOKUP(G968, data!A:B, 2, FALSE), "Tienda")</f>
        <v>SC GALERIAS DEL VALLE</v>
      </c>
      <c r="G968" s="1">
        <v>4026</v>
      </c>
      <c r="H968" s="2">
        <v>850</v>
      </c>
      <c r="I968" s="3" t="s">
        <v>11</v>
      </c>
      <c r="J968" s="4">
        <v>6</v>
      </c>
      <c r="K968" s="8">
        <f>IFERROR(VLOOKUP(I968, data!E:F, 2, FALSE), "Precio Unidad")</f>
        <v>177</v>
      </c>
      <c r="L968" s="9">
        <f t="shared" si="16"/>
        <v>1062</v>
      </c>
    </row>
    <row r="969" spans="1:12" ht="15" customHeight="1" x14ac:dyDescent="0.2">
      <c r="A969" s="54">
        <v>46211</v>
      </c>
      <c r="F969" s="7" t="str">
        <f>IFERROR(VLOOKUP(G969, data!A:B, 2, FALSE), "Tienda")</f>
        <v>SC GALERIAS DEL VALLE</v>
      </c>
      <c r="G969" s="1">
        <v>4026</v>
      </c>
      <c r="H969" s="2">
        <v>850</v>
      </c>
      <c r="I969" s="3" t="s">
        <v>12</v>
      </c>
      <c r="J969" s="4">
        <v>20</v>
      </c>
      <c r="K969" s="8">
        <f>IFERROR(VLOOKUP(I969, data!E:F, 2, FALSE), "Precio Unidad")</f>
        <v>95</v>
      </c>
      <c r="L969" s="9">
        <f t="shared" si="16"/>
        <v>1900</v>
      </c>
    </row>
    <row r="970" spans="1:12" ht="15" customHeight="1" x14ac:dyDescent="0.2">
      <c r="A970" s="54">
        <v>46211</v>
      </c>
      <c r="F970" s="7" t="str">
        <f>IFERROR(VLOOKUP(G970, data!A:B, 2, FALSE), "Tienda")</f>
        <v>SC GALERIAS DEL VALLE</v>
      </c>
      <c r="G970" s="1">
        <v>4026</v>
      </c>
      <c r="H970" s="2">
        <v>850</v>
      </c>
      <c r="I970" s="3" t="s">
        <v>13</v>
      </c>
      <c r="J970" s="4">
        <v>16</v>
      </c>
      <c r="K970" s="8">
        <f>IFERROR(VLOOKUP(I970, data!E:F, 2, FALSE), "Precio Unidad")</f>
        <v>63</v>
      </c>
      <c r="L970" s="9">
        <f t="shared" si="16"/>
        <v>1008</v>
      </c>
    </row>
    <row r="971" spans="1:12" ht="15" customHeight="1" x14ac:dyDescent="0.2">
      <c r="A971" s="54">
        <v>46211</v>
      </c>
      <c r="F971" s="7" t="str">
        <f>IFERROR(VLOOKUP(G971, data!A:B, 2, FALSE), "Tienda")</f>
        <v>SC MEXICALI</v>
      </c>
      <c r="G971" s="1">
        <v>2304</v>
      </c>
      <c r="H971" s="2">
        <v>851</v>
      </c>
      <c r="I971" s="3" t="s">
        <v>6</v>
      </c>
      <c r="J971" s="4">
        <v>8</v>
      </c>
      <c r="K971" s="8">
        <f>IFERROR(VLOOKUP(I971, data!E:F, 2, FALSE), "Precio Unidad")</f>
        <v>167</v>
      </c>
      <c r="L971" s="9">
        <f t="shared" si="16"/>
        <v>1336</v>
      </c>
    </row>
    <row r="972" spans="1:12" ht="15" customHeight="1" x14ac:dyDescent="0.2">
      <c r="A972" s="54">
        <v>46211</v>
      </c>
      <c r="F972" s="7" t="str">
        <f>IFERROR(VLOOKUP(G972, data!A:B, 2, FALSE), "Tienda")</f>
        <v>SC MEXICALI</v>
      </c>
      <c r="G972" s="1">
        <v>2304</v>
      </c>
      <c r="H972" s="2">
        <v>851</v>
      </c>
      <c r="I972" s="3" t="s">
        <v>10</v>
      </c>
      <c r="J972" s="4">
        <v>16</v>
      </c>
      <c r="K972" s="8">
        <f>IFERROR(VLOOKUP(I972, data!E:F, 2, FALSE), "Precio Unidad")</f>
        <v>151</v>
      </c>
      <c r="L972" s="9">
        <f t="shared" si="16"/>
        <v>2416</v>
      </c>
    </row>
    <row r="973" spans="1:12" ht="15" customHeight="1" x14ac:dyDescent="0.2">
      <c r="A973" s="54">
        <v>46211</v>
      </c>
      <c r="F973" s="7" t="str">
        <f>IFERROR(VLOOKUP(G973, data!A:B, 2, FALSE), "Tienda")</f>
        <v>SC MEXICALI</v>
      </c>
      <c r="G973" s="1">
        <v>2304</v>
      </c>
      <c r="H973" s="2">
        <v>851</v>
      </c>
      <c r="I973" s="3" t="s">
        <v>11</v>
      </c>
      <c r="J973" s="4">
        <v>18</v>
      </c>
      <c r="K973" s="8">
        <f>IFERROR(VLOOKUP(I973, data!E:F, 2, FALSE), "Precio Unidad")</f>
        <v>177</v>
      </c>
      <c r="L973" s="9">
        <f t="shared" si="16"/>
        <v>3186</v>
      </c>
    </row>
    <row r="974" spans="1:12" ht="15" customHeight="1" x14ac:dyDescent="0.2">
      <c r="A974" s="54">
        <v>46211</v>
      </c>
      <c r="F974" s="7" t="str">
        <f>IFERROR(VLOOKUP(G974, data!A:B, 2, FALSE), "Tienda")</f>
        <v>SC MEXICALI</v>
      </c>
      <c r="G974" s="1">
        <v>2304</v>
      </c>
      <c r="H974" s="2">
        <v>851</v>
      </c>
      <c r="I974" s="3" t="s">
        <v>12</v>
      </c>
      <c r="J974" s="4">
        <v>20</v>
      </c>
      <c r="K974" s="8">
        <f>IFERROR(VLOOKUP(I974, data!E:F, 2, FALSE), "Precio Unidad")</f>
        <v>95</v>
      </c>
      <c r="L974" s="9">
        <f t="shared" si="16"/>
        <v>1900</v>
      </c>
    </row>
    <row r="975" spans="1:12" ht="15" customHeight="1" x14ac:dyDescent="0.2">
      <c r="A975" s="54">
        <v>46211</v>
      </c>
      <c r="F975" s="7" t="str">
        <f>IFERROR(VLOOKUP(G975, data!A:B, 2, FALSE), "Tienda")</f>
        <v>SC MEXICALI</v>
      </c>
      <c r="G975" s="1">
        <v>2304</v>
      </c>
      <c r="H975" s="2">
        <v>851</v>
      </c>
      <c r="I975" s="3" t="s">
        <v>13</v>
      </c>
      <c r="J975" s="4">
        <v>16</v>
      </c>
      <c r="K975" s="8">
        <f>IFERROR(VLOOKUP(I975, data!E:F, 2, FALSE), "Precio Unidad")</f>
        <v>63</v>
      </c>
      <c r="L975" s="9">
        <f t="shared" si="16"/>
        <v>1008</v>
      </c>
    </row>
    <row r="976" spans="1:12" ht="15" customHeight="1" x14ac:dyDescent="0.2">
      <c r="A976" s="54">
        <v>46211</v>
      </c>
      <c r="F976" s="7" t="str">
        <f>IFERROR(VLOOKUP(G976, data!A:B, 2, FALSE), "Tienda")</f>
        <v>SC MEXICALI NOVENA</v>
      </c>
      <c r="G976" s="1">
        <v>1617</v>
      </c>
      <c r="H976" s="2">
        <v>852</v>
      </c>
      <c r="I976" s="3" t="s">
        <v>6</v>
      </c>
      <c r="J976" s="4">
        <v>8</v>
      </c>
      <c r="K976" s="8">
        <f>IFERROR(VLOOKUP(I976, data!E:F, 2, FALSE), "Precio Unidad")</f>
        <v>167</v>
      </c>
      <c r="L976" s="9">
        <f t="shared" si="16"/>
        <v>1336</v>
      </c>
    </row>
    <row r="977" spans="1:12" ht="15" customHeight="1" x14ac:dyDescent="0.2">
      <c r="A977" s="54">
        <v>46211</v>
      </c>
      <c r="F977" s="7" t="str">
        <f>IFERROR(VLOOKUP(G977, data!A:B, 2, FALSE), "Tienda")</f>
        <v>SC MEXICALI NOVENA</v>
      </c>
      <c r="G977" s="1">
        <v>1617</v>
      </c>
      <c r="H977" s="2">
        <v>852</v>
      </c>
      <c r="I977" s="3" t="s">
        <v>7</v>
      </c>
      <c r="J977" s="4">
        <v>10</v>
      </c>
      <c r="K977" s="8">
        <f>IFERROR(VLOOKUP(I977, data!E:F, 2, FALSE), "Precio Unidad")</f>
        <v>113</v>
      </c>
      <c r="L977" s="9">
        <f t="shared" si="16"/>
        <v>1130</v>
      </c>
    </row>
    <row r="978" spans="1:12" ht="15" customHeight="1" x14ac:dyDescent="0.2">
      <c r="A978" s="54">
        <v>46211</v>
      </c>
      <c r="F978" s="7" t="str">
        <f>IFERROR(VLOOKUP(G978, data!A:B, 2, FALSE), "Tienda")</f>
        <v>SC MEXICALI NOVENA</v>
      </c>
      <c r="G978" s="1">
        <v>1617</v>
      </c>
      <c r="H978" s="2">
        <v>852</v>
      </c>
      <c r="I978" s="3" t="s">
        <v>10</v>
      </c>
      <c r="J978" s="4">
        <v>32</v>
      </c>
      <c r="K978" s="8">
        <f>IFERROR(VLOOKUP(I978, data!E:F, 2, FALSE), "Precio Unidad")</f>
        <v>151</v>
      </c>
      <c r="L978" s="9">
        <f t="shared" si="16"/>
        <v>4832</v>
      </c>
    </row>
    <row r="979" spans="1:12" ht="15" customHeight="1" x14ac:dyDescent="0.2">
      <c r="A979" s="54">
        <v>46211</v>
      </c>
      <c r="F979" s="7" t="str">
        <f>IFERROR(VLOOKUP(G979, data!A:B, 2, FALSE), "Tienda")</f>
        <v>SC MEXICALI NOVENA</v>
      </c>
      <c r="G979" s="1">
        <v>1617</v>
      </c>
      <c r="H979" s="2">
        <v>852</v>
      </c>
      <c r="I979" s="3" t="s">
        <v>11</v>
      </c>
      <c r="J979" s="4">
        <v>12</v>
      </c>
      <c r="K979" s="8">
        <f>IFERROR(VLOOKUP(I979, data!E:F, 2, FALSE), "Precio Unidad")</f>
        <v>177</v>
      </c>
      <c r="L979" s="9">
        <f t="shared" si="16"/>
        <v>2124</v>
      </c>
    </row>
    <row r="980" spans="1:12" ht="15" customHeight="1" x14ac:dyDescent="0.2">
      <c r="A980" s="54">
        <v>46211</v>
      </c>
      <c r="F980" s="7" t="str">
        <f>IFERROR(VLOOKUP(G980, data!A:B, 2, FALSE), "Tienda")</f>
        <v>SC MEXICALI NOVENA</v>
      </c>
      <c r="G980" s="1">
        <v>1617</v>
      </c>
      <c r="H980" s="2">
        <v>852</v>
      </c>
      <c r="I980" s="3" t="s">
        <v>12</v>
      </c>
      <c r="J980" s="4">
        <v>20</v>
      </c>
      <c r="K980" s="8">
        <f>IFERROR(VLOOKUP(I980, data!E:F, 2, FALSE), "Precio Unidad")</f>
        <v>95</v>
      </c>
      <c r="L980" s="9">
        <f t="shared" si="16"/>
        <v>1900</v>
      </c>
    </row>
    <row r="981" spans="1:12" ht="15" customHeight="1" x14ac:dyDescent="0.2">
      <c r="A981" s="54">
        <v>46211</v>
      </c>
      <c r="F981" s="7" t="str">
        <f>IFERROR(VLOOKUP(G981, data!A:B, 2, FALSE), "Tienda")</f>
        <v>SC MEXICALI NOVENA</v>
      </c>
      <c r="G981" s="1">
        <v>1617</v>
      </c>
      <c r="H981" s="2">
        <v>852</v>
      </c>
      <c r="I981" s="3" t="s">
        <v>13</v>
      </c>
      <c r="J981" s="4">
        <v>24</v>
      </c>
      <c r="K981" s="8">
        <f>IFERROR(VLOOKUP(I981, data!E:F, 2, FALSE), "Precio Unidad")</f>
        <v>63</v>
      </c>
      <c r="L981" s="9">
        <f t="shared" si="16"/>
        <v>1512</v>
      </c>
    </row>
    <row r="982" spans="1:12" ht="15" customHeight="1" x14ac:dyDescent="0.2">
      <c r="A982" s="54">
        <v>46211</v>
      </c>
      <c r="F982" s="7" t="str">
        <f>IFERROR(VLOOKUP(G982, data!A:B, 2, FALSE), "Tienda")</f>
        <v>SC PLAZA SAN PEDRO</v>
      </c>
      <c r="G982" s="1">
        <v>1140</v>
      </c>
      <c r="H982" s="2">
        <v>853</v>
      </c>
      <c r="I982" s="3" t="s">
        <v>6</v>
      </c>
      <c r="J982" s="4">
        <v>8</v>
      </c>
      <c r="K982" s="8">
        <f>IFERROR(VLOOKUP(I982, data!E:F, 2, FALSE), "Precio Unidad")</f>
        <v>167</v>
      </c>
      <c r="L982" s="9">
        <f t="shared" si="16"/>
        <v>1336</v>
      </c>
    </row>
    <row r="983" spans="1:12" ht="15" customHeight="1" x14ac:dyDescent="0.2">
      <c r="A983" s="54">
        <v>46211</v>
      </c>
      <c r="F983" s="7" t="str">
        <f>IFERROR(VLOOKUP(G983, data!A:B, 2, FALSE), "Tienda")</f>
        <v>SC PLAZA SAN PEDRO</v>
      </c>
      <c r="G983" s="1">
        <v>1140</v>
      </c>
      <c r="H983" s="2">
        <v>853</v>
      </c>
      <c r="I983" s="3" t="s">
        <v>10</v>
      </c>
      <c r="J983" s="4">
        <v>16</v>
      </c>
      <c r="K983" s="8">
        <f>IFERROR(VLOOKUP(I983, data!E:F, 2, FALSE), "Precio Unidad")</f>
        <v>151</v>
      </c>
      <c r="L983" s="9">
        <f t="shared" si="16"/>
        <v>2416</v>
      </c>
    </row>
    <row r="984" spans="1:12" ht="15" customHeight="1" x14ac:dyDescent="0.2">
      <c r="A984" s="54">
        <v>46211</v>
      </c>
      <c r="F984" s="7" t="str">
        <f>IFERROR(VLOOKUP(G984, data!A:B, 2, FALSE), "Tienda")</f>
        <v>SC PLAZA SAN PEDRO</v>
      </c>
      <c r="G984" s="1">
        <v>1140</v>
      </c>
      <c r="H984" s="2">
        <v>853</v>
      </c>
      <c r="I984" s="3" t="s">
        <v>11</v>
      </c>
      <c r="J984" s="4">
        <v>12</v>
      </c>
      <c r="K984" s="8">
        <f>IFERROR(VLOOKUP(I984, data!E:F, 2, FALSE), "Precio Unidad")</f>
        <v>177</v>
      </c>
      <c r="L984" s="9">
        <f t="shared" si="16"/>
        <v>2124</v>
      </c>
    </row>
    <row r="985" spans="1:12" ht="15" customHeight="1" x14ac:dyDescent="0.2">
      <c r="A985" s="54">
        <v>46211</v>
      </c>
      <c r="F985" s="7" t="str">
        <f>IFERROR(VLOOKUP(G985, data!A:B, 2, FALSE), "Tienda")</f>
        <v>SC PLAZA SAN PEDRO</v>
      </c>
      <c r="G985" s="1">
        <v>1140</v>
      </c>
      <c r="H985" s="2">
        <v>853</v>
      </c>
      <c r="I985" s="3" t="s">
        <v>12</v>
      </c>
      <c r="J985" s="4">
        <v>10</v>
      </c>
      <c r="K985" s="8">
        <f>IFERROR(VLOOKUP(I985, data!E:F, 2, FALSE), "Precio Unidad")</f>
        <v>95</v>
      </c>
      <c r="L985" s="9">
        <f t="shared" si="16"/>
        <v>950</v>
      </c>
    </row>
    <row r="986" spans="1:12" ht="15" customHeight="1" x14ac:dyDescent="0.2">
      <c r="A986" s="54">
        <v>46211</v>
      </c>
      <c r="F986" s="7" t="str">
        <f>IFERROR(VLOOKUP(G986, data!A:B, 2, FALSE), "Tienda")</f>
        <v>SC PLAZA SAN PEDRO</v>
      </c>
      <c r="G986" s="1">
        <v>1140</v>
      </c>
      <c r="H986" s="2">
        <v>853</v>
      </c>
      <c r="I986" s="3" t="s">
        <v>13</v>
      </c>
      <c r="J986" s="4">
        <v>24</v>
      </c>
      <c r="K986" s="8">
        <f>IFERROR(VLOOKUP(I986, data!E:F, 2, FALSE), "Precio Unidad")</f>
        <v>63</v>
      </c>
      <c r="L986" s="9">
        <f t="shared" si="16"/>
        <v>1512</v>
      </c>
    </row>
    <row r="987" spans="1:12" ht="15" customHeight="1" x14ac:dyDescent="0.2">
      <c r="A987" s="54">
        <v>46212</v>
      </c>
      <c r="F987" s="7" t="str">
        <f>IFERROR(VLOOKUP(G987, data!A:B, 2, FALSE), "Tienda")</f>
        <v>SC TECATE GARITA</v>
      </c>
      <c r="G987" s="1">
        <v>5295</v>
      </c>
      <c r="H987" s="2">
        <v>854</v>
      </c>
      <c r="I987" s="3" t="s">
        <v>6</v>
      </c>
      <c r="J987" s="4">
        <v>4</v>
      </c>
      <c r="K987" s="8">
        <f>IFERROR(VLOOKUP(I987, data!E:F, 2, FALSE), "Precio Unidad")</f>
        <v>167</v>
      </c>
      <c r="L987" s="9">
        <f t="shared" si="16"/>
        <v>668</v>
      </c>
    </row>
    <row r="988" spans="1:12" ht="15" customHeight="1" x14ac:dyDescent="0.2">
      <c r="A988" s="54">
        <v>46212</v>
      </c>
      <c r="F988" s="7" t="str">
        <f>IFERROR(VLOOKUP(G988, data!A:B, 2, FALSE), "Tienda")</f>
        <v>SC TECATE GARITA</v>
      </c>
      <c r="G988" s="1">
        <v>5295</v>
      </c>
      <c r="H988" s="2">
        <v>854</v>
      </c>
      <c r="I988" s="3" t="s">
        <v>7</v>
      </c>
      <c r="J988" s="4">
        <v>6</v>
      </c>
      <c r="K988" s="8">
        <f>IFERROR(VLOOKUP(I988, data!E:F, 2, FALSE), "Precio Unidad")</f>
        <v>113</v>
      </c>
      <c r="L988" s="9">
        <f t="shared" si="16"/>
        <v>678</v>
      </c>
    </row>
    <row r="989" spans="1:12" ht="15" customHeight="1" x14ac:dyDescent="0.2">
      <c r="A989" s="54">
        <v>46212</v>
      </c>
      <c r="F989" s="7" t="str">
        <f>IFERROR(VLOOKUP(G989, data!A:B, 2, FALSE), "Tienda")</f>
        <v>SC TECATE GARITA</v>
      </c>
      <c r="G989" s="1">
        <v>5295</v>
      </c>
      <c r="H989" s="2">
        <v>854</v>
      </c>
      <c r="I989" s="3" t="s">
        <v>10</v>
      </c>
      <c r="J989" s="4">
        <v>8</v>
      </c>
      <c r="K989" s="8">
        <f>IFERROR(VLOOKUP(I989, data!E:F, 2, FALSE), "Precio Unidad")</f>
        <v>151</v>
      </c>
      <c r="L989" s="9">
        <f t="shared" si="16"/>
        <v>1208</v>
      </c>
    </row>
    <row r="990" spans="1:12" ht="15" customHeight="1" x14ac:dyDescent="0.2">
      <c r="A990" s="54">
        <v>46212</v>
      </c>
      <c r="F990" s="7" t="str">
        <f>IFERROR(VLOOKUP(G990, data!A:B, 2, FALSE), "Tienda")</f>
        <v>SC TECATE GARITA</v>
      </c>
      <c r="G990" s="1">
        <v>5295</v>
      </c>
      <c r="H990" s="2">
        <v>854</v>
      </c>
      <c r="I990" s="3" t="s">
        <v>12</v>
      </c>
      <c r="J990" s="4">
        <v>10</v>
      </c>
      <c r="K990" s="8">
        <f>IFERROR(VLOOKUP(I990, data!E:F, 2, FALSE), "Precio Unidad")</f>
        <v>95</v>
      </c>
      <c r="L990" s="9">
        <f t="shared" si="16"/>
        <v>950</v>
      </c>
    </row>
    <row r="991" spans="1:12" ht="15" customHeight="1" x14ac:dyDescent="0.2">
      <c r="A991" s="54">
        <v>46212</v>
      </c>
      <c r="F991" s="7" t="str">
        <f>IFERROR(VLOOKUP(G991, data!A:B, 2, FALSE), "Tienda")</f>
        <v>SC TECATE GARITA</v>
      </c>
      <c r="G991" s="1">
        <v>5295</v>
      </c>
      <c r="H991" s="2">
        <v>854</v>
      </c>
      <c r="I991" s="3" t="s">
        <v>13</v>
      </c>
      <c r="J991" s="4">
        <v>16</v>
      </c>
      <c r="K991" s="8">
        <f>IFERROR(VLOOKUP(I991, data!E:F, 2, FALSE), "Precio Unidad")</f>
        <v>63</v>
      </c>
      <c r="L991" s="9">
        <f t="shared" si="16"/>
        <v>1008</v>
      </c>
    </row>
    <row r="992" spans="1:12" ht="15" customHeight="1" x14ac:dyDescent="0.2">
      <c r="A992" s="54">
        <v>46212</v>
      </c>
      <c r="F992" s="7" t="str">
        <f>IFERROR(VLOOKUP(G992, data!A:B, 2, FALSE), "Tienda")</f>
        <v>SC ROSARITO</v>
      </c>
      <c r="G992" s="1">
        <v>4187</v>
      </c>
      <c r="H992" s="2">
        <v>855</v>
      </c>
      <c r="I992" s="3" t="s">
        <v>6</v>
      </c>
      <c r="J992" s="4">
        <v>8</v>
      </c>
      <c r="K992" s="8">
        <f>IFERROR(VLOOKUP(I992, data!E:F, 2, FALSE), "Precio Unidad")</f>
        <v>167</v>
      </c>
      <c r="L992" s="9">
        <f t="shared" si="16"/>
        <v>1336</v>
      </c>
    </row>
    <row r="993" spans="1:12" ht="15" customHeight="1" x14ac:dyDescent="0.2">
      <c r="A993" s="54">
        <v>46212</v>
      </c>
      <c r="F993" s="7" t="str">
        <f>IFERROR(VLOOKUP(G993, data!A:B, 2, FALSE), "Tienda")</f>
        <v>SC ROSARITO</v>
      </c>
      <c r="G993" s="1">
        <v>4187</v>
      </c>
      <c r="H993" s="2">
        <v>855</v>
      </c>
      <c r="I993" s="3" t="s">
        <v>10</v>
      </c>
      <c r="J993" s="4">
        <v>8</v>
      </c>
      <c r="K993" s="8">
        <f>IFERROR(VLOOKUP(I993, data!E:F, 2, FALSE), "Precio Unidad")</f>
        <v>151</v>
      </c>
      <c r="L993" s="9">
        <f t="shared" si="16"/>
        <v>1208</v>
      </c>
    </row>
    <row r="994" spans="1:12" ht="15" customHeight="1" x14ac:dyDescent="0.2">
      <c r="A994" s="54">
        <v>46212</v>
      </c>
      <c r="F994" s="7" t="str">
        <f>IFERROR(VLOOKUP(G994, data!A:B, 2, FALSE), "Tienda")</f>
        <v>SC ROSARITO</v>
      </c>
      <c r="G994" s="1">
        <v>4187</v>
      </c>
      <c r="H994" s="2">
        <v>855</v>
      </c>
      <c r="I994" s="3" t="s">
        <v>12</v>
      </c>
      <c r="J994" s="4">
        <v>20</v>
      </c>
      <c r="K994" s="8">
        <f>IFERROR(VLOOKUP(I994, data!E:F, 2, FALSE), "Precio Unidad")</f>
        <v>95</v>
      </c>
      <c r="L994" s="9">
        <f t="shared" si="16"/>
        <v>1900</v>
      </c>
    </row>
    <row r="995" spans="1:12" ht="15" customHeight="1" x14ac:dyDescent="0.2">
      <c r="A995" s="54">
        <v>46212</v>
      </c>
      <c r="F995" s="7" t="str">
        <f>IFERROR(VLOOKUP(G995, data!A:B, 2, FALSE), "Tienda")</f>
        <v>SC ROSARITO</v>
      </c>
      <c r="G995" s="1">
        <v>4187</v>
      </c>
      <c r="H995" s="2">
        <v>855</v>
      </c>
      <c r="I995" s="3" t="s">
        <v>13</v>
      </c>
      <c r="J995" s="4">
        <v>16</v>
      </c>
      <c r="K995" s="8">
        <f>IFERROR(VLOOKUP(I995, data!E:F, 2, FALSE), "Precio Unidad")</f>
        <v>63</v>
      </c>
      <c r="L995" s="9">
        <f t="shared" si="16"/>
        <v>1008</v>
      </c>
    </row>
    <row r="996" spans="1:12" ht="15" customHeight="1" x14ac:dyDescent="0.2">
      <c r="A996" s="54">
        <v>46212</v>
      </c>
      <c r="F996" s="7" t="str">
        <f>IFERROR(VLOOKUP(G996, data!A:B, 2, FALSE), "Tienda")</f>
        <v>SC TIJUANA 2000</v>
      </c>
      <c r="G996" s="1">
        <v>4155</v>
      </c>
      <c r="H996" s="2">
        <v>856</v>
      </c>
      <c r="I996" s="3" t="s">
        <v>6</v>
      </c>
      <c r="J996" s="4">
        <v>4</v>
      </c>
      <c r="K996" s="8">
        <f>IFERROR(VLOOKUP(I996, data!E:F, 2, FALSE), "Precio Unidad")</f>
        <v>167</v>
      </c>
      <c r="L996" s="9">
        <f t="shared" si="16"/>
        <v>668</v>
      </c>
    </row>
    <row r="997" spans="1:12" ht="15" customHeight="1" x14ac:dyDescent="0.2">
      <c r="A997" s="54">
        <v>46212</v>
      </c>
      <c r="F997" s="7" t="str">
        <f>IFERROR(VLOOKUP(G997, data!A:B, 2, FALSE), "Tienda")</f>
        <v>SC TIJUANA 2000</v>
      </c>
      <c r="G997" s="1">
        <v>4155</v>
      </c>
      <c r="H997" s="2">
        <v>856</v>
      </c>
      <c r="I997" s="3" t="s">
        <v>7</v>
      </c>
      <c r="J997" s="4">
        <v>6</v>
      </c>
      <c r="K997" s="8">
        <f>IFERROR(VLOOKUP(I997, data!E:F, 2, FALSE), "Precio Unidad")</f>
        <v>113</v>
      </c>
      <c r="L997" s="9">
        <f t="shared" si="16"/>
        <v>678</v>
      </c>
    </row>
    <row r="998" spans="1:12" ht="15" customHeight="1" x14ac:dyDescent="0.2">
      <c r="A998" s="54">
        <v>46212</v>
      </c>
      <c r="F998" s="7" t="str">
        <f>IFERROR(VLOOKUP(G998, data!A:B, 2, FALSE), "Tienda")</f>
        <v>SC TIJUANA 2000</v>
      </c>
      <c r="G998" s="1">
        <v>4155</v>
      </c>
      <c r="H998" s="2">
        <v>856</v>
      </c>
      <c r="I998" s="3" t="s">
        <v>10</v>
      </c>
      <c r="J998" s="4">
        <v>8</v>
      </c>
      <c r="K998" s="8">
        <f>IFERROR(VLOOKUP(I998, data!E:F, 2, FALSE), "Precio Unidad")</f>
        <v>151</v>
      </c>
      <c r="L998" s="9">
        <f t="shared" si="16"/>
        <v>1208</v>
      </c>
    </row>
    <row r="999" spans="1:12" ht="15" customHeight="1" x14ac:dyDescent="0.2">
      <c r="A999" s="54">
        <v>46212</v>
      </c>
      <c r="F999" s="7" t="str">
        <f>IFERROR(VLOOKUP(G999, data!A:B, 2, FALSE), "Tienda")</f>
        <v>SC TIJUANA 2000</v>
      </c>
      <c r="G999" s="1">
        <v>4155</v>
      </c>
      <c r="H999" s="2">
        <v>856</v>
      </c>
      <c r="I999" s="3" t="s">
        <v>12</v>
      </c>
      <c r="J999" s="4">
        <v>10</v>
      </c>
      <c r="K999" s="8">
        <f>IFERROR(VLOOKUP(I999, data!E:F, 2, FALSE), "Precio Unidad")</f>
        <v>95</v>
      </c>
      <c r="L999" s="9">
        <f t="shared" si="16"/>
        <v>950</v>
      </c>
    </row>
    <row r="1000" spans="1:12" ht="15" customHeight="1" x14ac:dyDescent="0.2">
      <c r="A1000" s="54">
        <v>46212</v>
      </c>
      <c r="F1000" s="7" t="str">
        <f>IFERROR(VLOOKUP(G1000, data!A:B, 2, FALSE), "Tienda")</f>
        <v>SC TIJUANA 2000</v>
      </c>
      <c r="G1000" s="1">
        <v>4155</v>
      </c>
      <c r="H1000" s="2">
        <v>856</v>
      </c>
      <c r="I1000" s="3" t="s">
        <v>13</v>
      </c>
      <c r="J1000" s="4">
        <v>24</v>
      </c>
      <c r="K1000" s="8">
        <f>IFERROR(VLOOKUP(I1000, data!E:F, 2, FALSE), "Precio Unidad")</f>
        <v>63</v>
      </c>
      <c r="L1000" s="9">
        <f t="shared" si="16"/>
        <v>1512</v>
      </c>
    </row>
    <row r="1001" spans="1:12" ht="15" customHeight="1" x14ac:dyDescent="0.2">
      <c r="A1001" s="54">
        <v>46212</v>
      </c>
      <c r="F1001" s="7" t="str">
        <f>IFERROR(VLOOKUP(G1001, data!A:B, 2, FALSE), "Tienda")</f>
        <v>SC TIJUANA HIPODROMO</v>
      </c>
      <c r="G1001" s="1">
        <v>4011</v>
      </c>
      <c r="H1001" s="2">
        <v>857</v>
      </c>
      <c r="I1001" s="3" t="s">
        <v>6</v>
      </c>
      <c r="J1001" s="4">
        <v>4</v>
      </c>
      <c r="K1001" s="8">
        <f>IFERROR(VLOOKUP(I1001, data!E:F, 2, FALSE), "Precio Unidad")</f>
        <v>167</v>
      </c>
      <c r="L1001" s="9">
        <f t="shared" si="16"/>
        <v>668</v>
      </c>
    </row>
    <row r="1002" spans="1:12" ht="15" customHeight="1" x14ac:dyDescent="0.2">
      <c r="A1002" s="54">
        <v>46212</v>
      </c>
      <c r="F1002" s="7" t="str">
        <f>IFERROR(VLOOKUP(G1002, data!A:B, 2, FALSE), "Tienda")</f>
        <v>SC TIJUANA HIPODROMO</v>
      </c>
      <c r="G1002" s="1">
        <v>4011</v>
      </c>
      <c r="H1002" s="2">
        <v>857</v>
      </c>
      <c r="I1002" s="3" t="s">
        <v>7</v>
      </c>
      <c r="J1002" s="4">
        <v>6</v>
      </c>
      <c r="K1002" s="8">
        <f>IFERROR(VLOOKUP(I1002, data!E:F, 2, FALSE), "Precio Unidad")</f>
        <v>113</v>
      </c>
      <c r="L1002" s="9">
        <f t="shared" si="16"/>
        <v>678</v>
      </c>
    </row>
    <row r="1003" spans="1:12" ht="15" customHeight="1" x14ac:dyDescent="0.2">
      <c r="A1003" s="54">
        <v>46212</v>
      </c>
      <c r="F1003" s="7" t="str">
        <f>IFERROR(VLOOKUP(G1003, data!A:B, 2, FALSE), "Tienda")</f>
        <v>SC TIJUANA HIPODROMO</v>
      </c>
      <c r="G1003" s="1">
        <v>4011</v>
      </c>
      <c r="H1003" s="2">
        <v>857</v>
      </c>
      <c r="I1003" s="3" t="s">
        <v>10</v>
      </c>
      <c r="J1003" s="4">
        <v>8</v>
      </c>
      <c r="K1003" s="8">
        <f>IFERROR(VLOOKUP(I1003, data!E:F, 2, FALSE), "Precio Unidad")</f>
        <v>151</v>
      </c>
      <c r="L1003" s="9">
        <f t="shared" si="16"/>
        <v>1208</v>
      </c>
    </row>
    <row r="1004" spans="1:12" ht="15" customHeight="1" x14ac:dyDescent="0.2">
      <c r="A1004" s="54">
        <v>46212</v>
      </c>
      <c r="F1004" s="7" t="str">
        <f>IFERROR(VLOOKUP(G1004, data!A:B, 2, FALSE), "Tienda")</f>
        <v>SC TIJUANA HIPODROMO</v>
      </c>
      <c r="G1004" s="1">
        <v>4011</v>
      </c>
      <c r="H1004" s="2">
        <v>857</v>
      </c>
      <c r="I1004" s="3" t="s">
        <v>12</v>
      </c>
      <c r="J1004" s="4">
        <v>20</v>
      </c>
      <c r="K1004" s="8">
        <f>IFERROR(VLOOKUP(I1004, data!E:F, 2, FALSE), "Precio Unidad")</f>
        <v>95</v>
      </c>
      <c r="L1004" s="9">
        <f t="shared" si="16"/>
        <v>1900</v>
      </c>
    </row>
    <row r="1005" spans="1:12" ht="15" customHeight="1" x14ac:dyDescent="0.2">
      <c r="A1005" s="54">
        <v>46212</v>
      </c>
      <c r="F1005" s="7" t="str">
        <f>IFERROR(VLOOKUP(G1005, data!A:B, 2, FALSE), "Tienda")</f>
        <v>SC TIJUANA HIPODROMO</v>
      </c>
      <c r="G1005" s="1">
        <v>4011</v>
      </c>
      <c r="H1005" s="2">
        <v>857</v>
      </c>
      <c r="I1005" s="3" t="s">
        <v>13</v>
      </c>
      <c r="J1005" s="4">
        <v>24</v>
      </c>
      <c r="K1005" s="8">
        <f>IFERROR(VLOOKUP(I1005, data!E:F, 2, FALSE), "Precio Unidad")</f>
        <v>63</v>
      </c>
      <c r="L1005" s="9">
        <f t="shared" si="16"/>
        <v>1512</v>
      </c>
    </row>
    <row r="1006" spans="1:12" ht="15" customHeight="1" x14ac:dyDescent="0.2">
      <c r="A1006" s="54">
        <v>46212</v>
      </c>
      <c r="F1006" s="7" t="str">
        <f>IFERROR(VLOOKUP(G1006, data!A:B, 2, FALSE), "Tienda")</f>
        <v>SC DIAZ ORDAZ</v>
      </c>
      <c r="G1006" s="1">
        <v>3664</v>
      </c>
      <c r="H1006" s="2">
        <v>858</v>
      </c>
      <c r="I1006" s="3" t="s">
        <v>6</v>
      </c>
      <c r="J1006" s="4">
        <v>4</v>
      </c>
      <c r="K1006" s="8">
        <f>IFERROR(VLOOKUP(I1006, data!E:F, 2, FALSE), "Precio Unidad")</f>
        <v>167</v>
      </c>
      <c r="L1006" s="9">
        <f t="shared" si="16"/>
        <v>668</v>
      </c>
    </row>
    <row r="1007" spans="1:12" ht="15" customHeight="1" x14ac:dyDescent="0.2">
      <c r="A1007" s="54">
        <v>46212</v>
      </c>
      <c r="F1007" s="7" t="str">
        <f>IFERROR(VLOOKUP(G1007, data!A:B, 2, FALSE), "Tienda")</f>
        <v>SC DIAZ ORDAZ</v>
      </c>
      <c r="G1007" s="1">
        <v>3664</v>
      </c>
      <c r="H1007" s="2">
        <v>858</v>
      </c>
      <c r="I1007" s="3" t="s">
        <v>7</v>
      </c>
      <c r="J1007" s="4">
        <v>6</v>
      </c>
      <c r="K1007" s="8">
        <f>IFERROR(VLOOKUP(I1007, data!E:F, 2, FALSE), "Precio Unidad")</f>
        <v>113</v>
      </c>
      <c r="L1007" s="9">
        <f t="shared" si="16"/>
        <v>678</v>
      </c>
    </row>
    <row r="1008" spans="1:12" ht="15" customHeight="1" x14ac:dyDescent="0.2">
      <c r="A1008" s="54">
        <v>46212</v>
      </c>
      <c r="F1008" s="7" t="str">
        <f>IFERROR(VLOOKUP(G1008, data!A:B, 2, FALSE), "Tienda")</f>
        <v>SC DIAZ ORDAZ</v>
      </c>
      <c r="G1008" s="1">
        <v>3664</v>
      </c>
      <c r="H1008" s="2">
        <v>858</v>
      </c>
      <c r="I1008" s="3" t="s">
        <v>10</v>
      </c>
      <c r="J1008" s="4">
        <v>8</v>
      </c>
      <c r="K1008" s="8">
        <f>IFERROR(VLOOKUP(I1008, data!E:F, 2, FALSE), "Precio Unidad")</f>
        <v>151</v>
      </c>
      <c r="L1008" s="9">
        <f t="shared" si="16"/>
        <v>1208</v>
      </c>
    </row>
    <row r="1009" spans="1:12" ht="15" customHeight="1" x14ac:dyDescent="0.2">
      <c r="A1009" s="54">
        <v>46212</v>
      </c>
      <c r="F1009" s="7" t="str">
        <f>IFERROR(VLOOKUP(G1009, data!A:B, 2, FALSE), "Tienda")</f>
        <v>SC DIAZ ORDAZ</v>
      </c>
      <c r="G1009" s="1">
        <v>3664</v>
      </c>
      <c r="H1009" s="2">
        <v>858</v>
      </c>
      <c r="I1009" s="3" t="s">
        <v>13</v>
      </c>
      <c r="J1009" s="4">
        <v>16</v>
      </c>
      <c r="K1009" s="8">
        <f>IFERROR(VLOOKUP(I1009, data!E:F, 2, FALSE), "Precio Unidad")</f>
        <v>63</v>
      </c>
      <c r="L1009" s="9">
        <f t="shared" si="16"/>
        <v>1008</v>
      </c>
    </row>
    <row r="1010" spans="1:12" ht="15" customHeight="1" x14ac:dyDescent="0.2">
      <c r="A1010" s="54">
        <v>46212</v>
      </c>
      <c r="F1010" s="7" t="str">
        <f>IFERROR(VLOOKUP(G1010, data!A:B, 2, FALSE), "Tienda")</f>
        <v>SC MACROPLAZA INSURGENTES</v>
      </c>
      <c r="G1010" s="1">
        <v>2023</v>
      </c>
      <c r="H1010" s="2">
        <v>859</v>
      </c>
      <c r="I1010" s="3" t="s">
        <v>6</v>
      </c>
      <c r="J1010" s="4">
        <v>8</v>
      </c>
      <c r="K1010" s="8">
        <f>IFERROR(VLOOKUP(I1010, data!E:F, 2, FALSE), "Precio Unidad")</f>
        <v>167</v>
      </c>
      <c r="L1010" s="9">
        <f t="shared" si="16"/>
        <v>1336</v>
      </c>
    </row>
    <row r="1011" spans="1:12" ht="15" customHeight="1" x14ac:dyDescent="0.2">
      <c r="A1011" s="54">
        <v>46212</v>
      </c>
      <c r="F1011" s="7" t="str">
        <f>IFERROR(VLOOKUP(G1011, data!A:B, 2, FALSE), "Tienda")</f>
        <v>SC MACROPLAZA INSURGENTES</v>
      </c>
      <c r="G1011" s="1">
        <v>2023</v>
      </c>
      <c r="H1011" s="2">
        <v>859</v>
      </c>
      <c r="I1011" s="3" t="s">
        <v>10</v>
      </c>
      <c r="J1011" s="4">
        <v>8</v>
      </c>
      <c r="K1011" s="8">
        <f>IFERROR(VLOOKUP(I1011, data!E:F, 2, FALSE), "Precio Unidad")</f>
        <v>151</v>
      </c>
      <c r="L1011" s="9">
        <f t="shared" si="16"/>
        <v>1208</v>
      </c>
    </row>
    <row r="1012" spans="1:12" ht="15" customHeight="1" x14ac:dyDescent="0.2">
      <c r="A1012" s="54">
        <v>46212</v>
      </c>
      <c r="F1012" s="7" t="str">
        <f>IFERROR(VLOOKUP(G1012, data!A:B, 2, FALSE), "Tienda")</f>
        <v>SC MACROPLAZA INSURGENTES</v>
      </c>
      <c r="G1012" s="1">
        <v>2023</v>
      </c>
      <c r="H1012" s="2">
        <v>859</v>
      </c>
      <c r="I1012" s="3" t="s">
        <v>12</v>
      </c>
      <c r="J1012" s="4">
        <v>10</v>
      </c>
      <c r="K1012" s="8">
        <f>IFERROR(VLOOKUP(I1012, data!E:F, 2, FALSE), "Precio Unidad")</f>
        <v>95</v>
      </c>
      <c r="L1012" s="9">
        <f t="shared" si="16"/>
        <v>950</v>
      </c>
    </row>
    <row r="1013" spans="1:12" ht="15" customHeight="1" x14ac:dyDescent="0.2">
      <c r="A1013" s="54">
        <v>46212</v>
      </c>
      <c r="F1013" s="7" t="str">
        <f>IFERROR(VLOOKUP(G1013, data!A:B, 2, FALSE), "Tienda")</f>
        <v>SC MACROPLAZA INSURGENTES</v>
      </c>
      <c r="G1013" s="1">
        <v>2023</v>
      </c>
      <c r="H1013" s="2">
        <v>859</v>
      </c>
      <c r="I1013" s="3" t="s">
        <v>13</v>
      </c>
      <c r="J1013" s="4">
        <v>16</v>
      </c>
      <c r="K1013" s="8">
        <f>IFERROR(VLOOKUP(I1013, data!E:F, 2, FALSE), "Precio Unidad")</f>
        <v>63</v>
      </c>
      <c r="L1013" s="9">
        <f t="shared" si="16"/>
        <v>1008</v>
      </c>
    </row>
    <row r="1014" spans="1:12" ht="15" customHeight="1" x14ac:dyDescent="0.2">
      <c r="A1014" s="54">
        <v>46212</v>
      </c>
      <c r="F1014" s="7" t="str">
        <f>IFERROR(VLOOKUP(G1014, data!A:B, 2, FALSE), "Tienda")</f>
        <v>SC LOMAS DE SANTA FE</v>
      </c>
      <c r="G1014" s="1">
        <v>190</v>
      </c>
      <c r="H1014" s="2">
        <v>860</v>
      </c>
      <c r="I1014" s="3" t="s">
        <v>10</v>
      </c>
      <c r="J1014" s="4">
        <v>8</v>
      </c>
      <c r="K1014" s="8">
        <f>IFERROR(VLOOKUP(I1014, data!E:F, 2, FALSE), "Precio Unidad")</f>
        <v>151</v>
      </c>
      <c r="L1014" s="9">
        <f t="shared" si="16"/>
        <v>1208</v>
      </c>
    </row>
    <row r="1015" spans="1:12" ht="15" customHeight="1" x14ac:dyDescent="0.2">
      <c r="A1015" s="54">
        <v>46212</v>
      </c>
      <c r="F1015" s="7" t="str">
        <f>IFERROR(VLOOKUP(G1015, data!A:B, 2, FALSE), "Tienda")</f>
        <v>SC LOMAS DE SANTA FE</v>
      </c>
      <c r="G1015" s="1">
        <v>190</v>
      </c>
      <c r="H1015" s="2">
        <v>860</v>
      </c>
      <c r="I1015" s="3" t="s">
        <v>12</v>
      </c>
      <c r="J1015" s="4">
        <v>10</v>
      </c>
      <c r="K1015" s="8">
        <f>IFERROR(VLOOKUP(I1015, data!E:F, 2, FALSE), "Precio Unidad")</f>
        <v>95</v>
      </c>
      <c r="L1015" s="9">
        <f t="shared" si="16"/>
        <v>950</v>
      </c>
    </row>
    <row r="1016" spans="1:12" ht="15" customHeight="1" x14ac:dyDescent="0.2">
      <c r="A1016" s="54">
        <v>46212</v>
      </c>
      <c r="F1016" s="7" t="str">
        <f>IFERROR(VLOOKUP(G1016, data!A:B, 2, FALSE), "Tienda")</f>
        <v>SC LOMAS DE SANTA FE</v>
      </c>
      <c r="G1016" s="1">
        <v>190</v>
      </c>
      <c r="H1016" s="2">
        <v>860</v>
      </c>
      <c r="I1016" s="3" t="s">
        <v>13</v>
      </c>
      <c r="J1016" s="4">
        <v>16</v>
      </c>
      <c r="K1016" s="8">
        <f>IFERROR(VLOOKUP(I1016, data!E:F, 2, FALSE), "Precio Unidad")</f>
        <v>63</v>
      </c>
      <c r="L1016" s="9">
        <f t="shared" si="16"/>
        <v>1008</v>
      </c>
    </row>
    <row r="1017" spans="1:12" ht="15" customHeight="1" x14ac:dyDescent="0.2">
      <c r="A1017" s="54">
        <v>46212</v>
      </c>
      <c r="F1017" s="7" t="str">
        <f>IFERROR(VLOOKUP(G1017, data!A:B, 2, FALSE), "Tienda")</f>
        <v>SC PACIFICO</v>
      </c>
      <c r="G1017" s="1">
        <v>1616</v>
      </c>
      <c r="H1017" s="2">
        <v>861</v>
      </c>
      <c r="I1017" s="3" t="s">
        <v>10</v>
      </c>
      <c r="J1017" s="4">
        <v>8</v>
      </c>
      <c r="K1017" s="8">
        <f>IFERROR(VLOOKUP(I1017, data!E:F, 2, FALSE), "Precio Unidad")</f>
        <v>151</v>
      </c>
      <c r="L1017" s="9">
        <f t="shared" si="16"/>
        <v>1208</v>
      </c>
    </row>
    <row r="1018" spans="1:12" ht="15" customHeight="1" x14ac:dyDescent="0.2">
      <c r="A1018" s="54">
        <v>46212</v>
      </c>
      <c r="F1018" s="7" t="str">
        <f>IFERROR(VLOOKUP(G1018, data!A:B, 2, FALSE), "Tienda")</f>
        <v>SC PACIFICO</v>
      </c>
      <c r="G1018" s="1">
        <v>1616</v>
      </c>
      <c r="H1018" s="2">
        <v>861</v>
      </c>
      <c r="I1018" s="3" t="s">
        <v>13</v>
      </c>
      <c r="J1018" s="4">
        <v>16</v>
      </c>
      <c r="K1018" s="8">
        <f>IFERROR(VLOOKUP(I1018, data!E:F, 2, FALSE), "Precio Unidad")</f>
        <v>63</v>
      </c>
      <c r="L1018" s="9">
        <f t="shared" si="16"/>
        <v>1008</v>
      </c>
    </row>
    <row r="1019" spans="1:12" ht="15" customHeight="1" x14ac:dyDescent="0.2">
      <c r="A1019" s="54">
        <v>46212</v>
      </c>
      <c r="F1019" s="7" t="str">
        <f>IFERROR(VLOOKUP(G1019, data!A:B, 2, FALSE), "Tienda")</f>
        <v>SC PLAYAS DE TIJUANA</v>
      </c>
      <c r="G1019" s="1">
        <v>1613</v>
      </c>
      <c r="H1019" s="2">
        <v>862</v>
      </c>
      <c r="I1019" s="3" t="s">
        <v>6</v>
      </c>
      <c r="J1019" s="4">
        <v>8</v>
      </c>
      <c r="K1019" s="8">
        <f>IFERROR(VLOOKUP(I1019, data!E:F, 2, FALSE), "Precio Unidad")</f>
        <v>167</v>
      </c>
      <c r="L1019" s="9">
        <f t="shared" si="16"/>
        <v>1336</v>
      </c>
    </row>
    <row r="1020" spans="1:12" ht="15" customHeight="1" x14ac:dyDescent="0.2">
      <c r="A1020" s="54">
        <v>46212</v>
      </c>
      <c r="F1020" s="7" t="str">
        <f>IFERROR(VLOOKUP(G1020, data!A:B, 2, FALSE), "Tienda")</f>
        <v>SC PLAYAS DE TIJUANA</v>
      </c>
      <c r="G1020" s="1">
        <v>1613</v>
      </c>
      <c r="H1020" s="2">
        <v>862</v>
      </c>
      <c r="I1020" s="3" t="s">
        <v>7</v>
      </c>
      <c r="J1020" s="4">
        <v>10</v>
      </c>
      <c r="K1020" s="8">
        <f>IFERROR(VLOOKUP(I1020, data!E:F, 2, FALSE), "Precio Unidad")</f>
        <v>113</v>
      </c>
      <c r="L1020" s="9">
        <f t="shared" si="16"/>
        <v>1130</v>
      </c>
    </row>
    <row r="1021" spans="1:12" ht="15" customHeight="1" x14ac:dyDescent="0.2">
      <c r="A1021" s="54">
        <v>46212</v>
      </c>
      <c r="F1021" s="7" t="str">
        <f>IFERROR(VLOOKUP(G1021, data!A:B, 2, FALSE), "Tienda")</f>
        <v>SC PLAYAS DE TIJUANA</v>
      </c>
      <c r="G1021" s="1">
        <v>1613</v>
      </c>
      <c r="H1021" s="2">
        <v>862</v>
      </c>
      <c r="I1021" s="3" t="s">
        <v>10</v>
      </c>
      <c r="J1021" s="4">
        <v>8</v>
      </c>
      <c r="K1021" s="8">
        <f>IFERROR(VLOOKUP(I1021, data!E:F, 2, FALSE), "Precio Unidad")</f>
        <v>151</v>
      </c>
      <c r="L1021" s="9">
        <f t="shared" si="16"/>
        <v>1208</v>
      </c>
    </row>
    <row r="1022" spans="1:12" ht="15" customHeight="1" x14ac:dyDescent="0.2">
      <c r="A1022" s="54">
        <v>46212</v>
      </c>
      <c r="F1022" s="7" t="str">
        <f>IFERROR(VLOOKUP(G1022, data!A:B, 2, FALSE), "Tienda")</f>
        <v>SC PLAYAS DE TIJUANA</v>
      </c>
      <c r="G1022" s="1">
        <v>1613</v>
      </c>
      <c r="H1022" s="2">
        <v>862</v>
      </c>
      <c r="I1022" s="3" t="s">
        <v>11</v>
      </c>
      <c r="J1022" s="4">
        <v>6</v>
      </c>
      <c r="K1022" s="8">
        <f>IFERROR(VLOOKUP(I1022, data!E:F, 2, FALSE), "Precio Unidad")</f>
        <v>177</v>
      </c>
      <c r="L1022" s="9">
        <f t="shared" si="16"/>
        <v>1062</v>
      </c>
    </row>
    <row r="1023" spans="1:12" ht="15" customHeight="1" x14ac:dyDescent="0.2">
      <c r="A1023" s="54">
        <v>46212</v>
      </c>
      <c r="F1023" s="7" t="str">
        <f>IFERROR(VLOOKUP(G1023, data!A:B, 2, FALSE), "Tienda")</f>
        <v>SC PLAYAS DE TIJUANA</v>
      </c>
      <c r="G1023" s="1">
        <v>1613</v>
      </c>
      <c r="H1023" s="2">
        <v>862</v>
      </c>
      <c r="I1023" s="3" t="s">
        <v>12</v>
      </c>
      <c r="J1023" s="4">
        <v>10</v>
      </c>
      <c r="K1023" s="8">
        <f>IFERROR(VLOOKUP(I1023, data!E:F, 2, FALSE), "Precio Unidad")</f>
        <v>95</v>
      </c>
      <c r="L1023" s="9">
        <f t="shared" si="16"/>
        <v>950</v>
      </c>
    </row>
    <row r="1024" spans="1:12" ht="15" customHeight="1" x14ac:dyDescent="0.2">
      <c r="A1024" s="54">
        <v>46212</v>
      </c>
      <c r="F1024" s="7" t="str">
        <f>IFERROR(VLOOKUP(G1024, data!A:B, 2, FALSE), "Tienda")</f>
        <v>SC PLAYAS DE TIJUANA</v>
      </c>
      <c r="G1024" s="1">
        <v>1613</v>
      </c>
      <c r="H1024" s="2">
        <v>862</v>
      </c>
      <c r="I1024" s="3" t="s">
        <v>13</v>
      </c>
      <c r="J1024" s="4">
        <v>24</v>
      </c>
      <c r="K1024" s="8">
        <f>IFERROR(VLOOKUP(I1024, data!E:F, 2, FALSE), "Precio Unidad")</f>
        <v>63</v>
      </c>
      <c r="L1024" s="9">
        <f t="shared" si="16"/>
        <v>1512</v>
      </c>
    </row>
    <row r="1025" spans="1:12" ht="15" customHeight="1" x14ac:dyDescent="0.2">
      <c r="A1025" s="54">
        <v>46214</v>
      </c>
      <c r="F1025" s="7" t="str">
        <f>IFERROR(VLOOKUP(G1025, data!A:B, 2, FALSE), "Tienda")</f>
        <v>SC ENSENADA CENTRO</v>
      </c>
      <c r="G1025" s="1">
        <v>2947</v>
      </c>
      <c r="H1025" s="2">
        <v>869</v>
      </c>
      <c r="I1025" s="3" t="s">
        <v>7</v>
      </c>
      <c r="J1025" s="4">
        <v>10</v>
      </c>
      <c r="K1025" s="8">
        <f>IFERROR(VLOOKUP(I1025, data!E:F, 2, FALSE), "Precio Unidad")</f>
        <v>113</v>
      </c>
      <c r="L1025" s="9">
        <f t="shared" si="16"/>
        <v>1130</v>
      </c>
    </row>
    <row r="1026" spans="1:12" ht="15" customHeight="1" x14ac:dyDescent="0.2">
      <c r="A1026" s="54">
        <v>46214</v>
      </c>
      <c r="F1026" s="7" t="str">
        <f>IFERROR(VLOOKUP(G1026, data!A:B, 2, FALSE), "Tienda")</f>
        <v>SC ENSENADA CENTRO</v>
      </c>
      <c r="G1026" s="1">
        <v>2947</v>
      </c>
      <c r="H1026" s="2">
        <v>869</v>
      </c>
      <c r="I1026" s="3" t="s">
        <v>10</v>
      </c>
      <c r="J1026" s="4">
        <v>8</v>
      </c>
      <c r="K1026" s="8">
        <f>IFERROR(VLOOKUP(I1026, data!E:F, 2, FALSE), "Precio Unidad")</f>
        <v>151</v>
      </c>
      <c r="L1026" s="9">
        <f t="shared" si="16"/>
        <v>1208</v>
      </c>
    </row>
    <row r="1027" spans="1:12" ht="15" customHeight="1" x14ac:dyDescent="0.2">
      <c r="A1027" s="54">
        <v>46214</v>
      </c>
      <c r="F1027" s="7" t="str">
        <f>IFERROR(VLOOKUP(G1027, data!A:B, 2, FALSE), "Tienda")</f>
        <v>SC ENSENADA CENTRO</v>
      </c>
      <c r="G1027" s="1">
        <v>2947</v>
      </c>
      <c r="H1027" s="2">
        <v>869</v>
      </c>
      <c r="I1027" s="3" t="s">
        <v>12</v>
      </c>
      <c r="J1027" s="4">
        <v>10</v>
      </c>
      <c r="K1027" s="8">
        <f>IFERROR(VLOOKUP(I1027, data!E:F, 2, FALSE), "Precio Unidad")</f>
        <v>95</v>
      </c>
      <c r="L1027" s="9">
        <f t="shared" si="16"/>
        <v>950</v>
      </c>
    </row>
    <row r="1028" spans="1:12" ht="15" customHeight="1" x14ac:dyDescent="0.2">
      <c r="A1028" s="54">
        <v>46214</v>
      </c>
      <c r="F1028" s="7" t="str">
        <f>IFERROR(VLOOKUP(G1028, data!A:B, 2, FALSE), "Tienda")</f>
        <v>SC ENSENADA CENTRO</v>
      </c>
      <c r="G1028" s="1">
        <v>2947</v>
      </c>
      <c r="H1028" s="2">
        <v>869</v>
      </c>
      <c r="I1028" s="3" t="s">
        <v>13</v>
      </c>
      <c r="J1028" s="4">
        <v>16</v>
      </c>
      <c r="K1028" s="8">
        <f>IFERROR(VLOOKUP(I1028, data!E:F, 2, FALSE), "Precio Unidad")</f>
        <v>63</v>
      </c>
      <c r="L1028" s="9">
        <f t="shared" si="16"/>
        <v>1008</v>
      </c>
    </row>
    <row r="1029" spans="1:12" ht="15" customHeight="1" x14ac:dyDescent="0.2">
      <c r="A1029" s="54">
        <v>46214</v>
      </c>
      <c r="F1029" s="7" t="str">
        <f>IFERROR(VLOOKUP(G1029, data!A:B, 2, FALSE), "Tienda")</f>
        <v>SC PLAZA SAN PEDRO</v>
      </c>
      <c r="G1029" s="1">
        <v>1140</v>
      </c>
      <c r="H1029" s="2">
        <v>870</v>
      </c>
      <c r="I1029" s="3" t="s">
        <v>6</v>
      </c>
      <c r="J1029" s="4">
        <v>4</v>
      </c>
      <c r="K1029" s="8">
        <f>IFERROR(VLOOKUP(I1029, data!E:F, 2, FALSE), "Precio Unidad")</f>
        <v>167</v>
      </c>
      <c r="L1029" s="9">
        <f t="shared" ref="L1029:L1092" si="17">K1029*J1029</f>
        <v>668</v>
      </c>
    </row>
    <row r="1030" spans="1:12" ht="15" customHeight="1" x14ac:dyDescent="0.2">
      <c r="A1030" s="54">
        <v>46214</v>
      </c>
      <c r="F1030" s="7" t="str">
        <f>IFERROR(VLOOKUP(G1030, data!A:B, 2, FALSE), "Tienda")</f>
        <v>SC PLAZA SAN PEDRO</v>
      </c>
      <c r="G1030" s="1">
        <v>1140</v>
      </c>
      <c r="H1030" s="2">
        <v>870</v>
      </c>
      <c r="I1030" s="3" t="s">
        <v>7</v>
      </c>
      <c r="J1030" s="4">
        <v>6</v>
      </c>
      <c r="K1030" s="8">
        <f>IFERROR(VLOOKUP(I1030, data!E:F, 2, FALSE), "Precio Unidad")</f>
        <v>113</v>
      </c>
      <c r="L1030" s="9">
        <f t="shared" si="17"/>
        <v>678</v>
      </c>
    </row>
    <row r="1031" spans="1:12" ht="15" customHeight="1" x14ac:dyDescent="0.2">
      <c r="A1031" s="54">
        <v>46214</v>
      </c>
      <c r="F1031" s="7" t="str">
        <f>IFERROR(VLOOKUP(G1031, data!A:B, 2, FALSE), "Tienda")</f>
        <v>SC PLAZA SAN PEDRO</v>
      </c>
      <c r="G1031" s="1">
        <v>1140</v>
      </c>
      <c r="H1031" s="2">
        <v>870</v>
      </c>
      <c r="I1031" s="3" t="s">
        <v>10</v>
      </c>
      <c r="J1031" s="4">
        <v>8</v>
      </c>
      <c r="K1031" s="8">
        <f>IFERROR(VLOOKUP(I1031, data!E:F, 2, FALSE), "Precio Unidad")</f>
        <v>151</v>
      </c>
      <c r="L1031" s="9">
        <f t="shared" si="17"/>
        <v>1208</v>
      </c>
    </row>
    <row r="1032" spans="1:12" ht="15" customHeight="1" x14ac:dyDescent="0.2">
      <c r="A1032" s="54">
        <v>46214</v>
      </c>
      <c r="F1032" s="7" t="str">
        <f>IFERROR(VLOOKUP(G1032, data!A:B, 2, FALSE), "Tienda")</f>
        <v>SC PLAZA SAN PEDRO</v>
      </c>
      <c r="G1032" s="1">
        <v>1140</v>
      </c>
      <c r="H1032" s="2">
        <v>870</v>
      </c>
      <c r="I1032" s="3" t="s">
        <v>11</v>
      </c>
      <c r="J1032" s="4">
        <v>6</v>
      </c>
      <c r="K1032" s="8">
        <f>IFERROR(VLOOKUP(I1032, data!E:F, 2, FALSE), "Precio Unidad")</f>
        <v>177</v>
      </c>
      <c r="L1032" s="9">
        <f t="shared" si="17"/>
        <v>1062</v>
      </c>
    </row>
    <row r="1033" spans="1:12" ht="15" customHeight="1" x14ac:dyDescent="0.2">
      <c r="A1033" s="54">
        <v>46214</v>
      </c>
      <c r="F1033" s="7" t="str">
        <f>IFERROR(VLOOKUP(G1033, data!A:B, 2, FALSE), "Tienda")</f>
        <v>SC PLAZA SAN PEDRO</v>
      </c>
      <c r="G1033" s="1">
        <v>1140</v>
      </c>
      <c r="H1033" s="2">
        <v>870</v>
      </c>
      <c r="I1033" s="3" t="s">
        <v>12</v>
      </c>
      <c r="J1033" s="4">
        <v>10</v>
      </c>
      <c r="K1033" s="8">
        <f>IFERROR(VLOOKUP(I1033, data!E:F, 2, FALSE), "Precio Unidad")</f>
        <v>95</v>
      </c>
      <c r="L1033" s="9">
        <f t="shared" si="17"/>
        <v>950</v>
      </c>
    </row>
    <row r="1034" spans="1:12" ht="15" customHeight="1" x14ac:dyDescent="0.2">
      <c r="A1034" s="54">
        <v>46214</v>
      </c>
      <c r="F1034" s="7" t="str">
        <f>IFERROR(VLOOKUP(G1034, data!A:B, 2, FALSE), "Tienda")</f>
        <v>SC PLAZA SAN PEDRO</v>
      </c>
      <c r="G1034" s="1">
        <v>1140</v>
      </c>
      <c r="H1034" s="2">
        <v>870</v>
      </c>
      <c r="I1034" s="3" t="s">
        <v>13</v>
      </c>
      <c r="J1034" s="4">
        <v>8</v>
      </c>
      <c r="K1034" s="8">
        <f>IFERROR(VLOOKUP(I1034, data!E:F, 2, FALSE), "Precio Unidad")</f>
        <v>63</v>
      </c>
      <c r="L1034" s="9">
        <f t="shared" si="17"/>
        <v>504</v>
      </c>
    </row>
    <row r="1035" spans="1:12" ht="15" customHeight="1" x14ac:dyDescent="0.2">
      <c r="A1035" s="54">
        <v>46214</v>
      </c>
      <c r="F1035" s="7" t="str">
        <f>IFERROR(VLOOKUP(G1035, data!A:B, 2, FALSE), "Tienda")</f>
        <v>SC PLAYAS DE TIJUANA</v>
      </c>
      <c r="G1035" s="1">
        <v>1613</v>
      </c>
      <c r="H1035" s="2">
        <v>871</v>
      </c>
      <c r="I1035" s="3" t="s">
        <v>10</v>
      </c>
      <c r="J1035" s="4">
        <v>8</v>
      </c>
      <c r="K1035" s="8">
        <f>IFERROR(VLOOKUP(I1035, data!E:F, 2, FALSE), "Precio Unidad")</f>
        <v>151</v>
      </c>
      <c r="L1035" s="9">
        <f t="shared" si="17"/>
        <v>1208</v>
      </c>
    </row>
    <row r="1036" spans="1:12" ht="15" customHeight="1" x14ac:dyDescent="0.2">
      <c r="A1036" s="54">
        <v>46214</v>
      </c>
      <c r="F1036" s="7" t="str">
        <f>IFERROR(VLOOKUP(G1036, data!A:B, 2, FALSE), "Tienda")</f>
        <v>SC PLAYAS DE TIJUANA</v>
      </c>
      <c r="G1036" s="1">
        <v>1613</v>
      </c>
      <c r="H1036" s="2">
        <v>871</v>
      </c>
      <c r="I1036" s="3" t="s">
        <v>11</v>
      </c>
      <c r="J1036" s="4">
        <v>6</v>
      </c>
      <c r="K1036" s="8">
        <f>IFERROR(VLOOKUP(I1036, data!E:F, 2, FALSE), "Precio Unidad")</f>
        <v>177</v>
      </c>
      <c r="L1036" s="9">
        <f t="shared" si="17"/>
        <v>1062</v>
      </c>
    </row>
    <row r="1037" spans="1:12" ht="15" customHeight="1" x14ac:dyDescent="0.2">
      <c r="A1037" s="54">
        <v>46214</v>
      </c>
      <c r="F1037" s="7" t="str">
        <f>IFERROR(VLOOKUP(G1037, data!A:B, 2, FALSE), "Tienda")</f>
        <v>SC PLAYAS DE TIJUANA</v>
      </c>
      <c r="G1037" s="1">
        <v>1613</v>
      </c>
      <c r="H1037" s="2">
        <v>871</v>
      </c>
      <c r="I1037" s="3" t="s">
        <v>12</v>
      </c>
      <c r="J1037" s="4">
        <v>10</v>
      </c>
      <c r="K1037" s="8">
        <f>IFERROR(VLOOKUP(I1037, data!E:F, 2, FALSE), "Precio Unidad")</f>
        <v>95</v>
      </c>
      <c r="L1037" s="9">
        <f t="shared" si="17"/>
        <v>950</v>
      </c>
    </row>
    <row r="1038" spans="1:12" ht="15" customHeight="1" x14ac:dyDescent="0.2">
      <c r="A1038" s="54">
        <v>46214</v>
      </c>
      <c r="F1038" s="7" t="str">
        <f>IFERROR(VLOOKUP(G1038, data!A:B, 2, FALSE), "Tienda")</f>
        <v>SC PLAYAS DE TIJUANA</v>
      </c>
      <c r="G1038" s="1">
        <v>1613</v>
      </c>
      <c r="H1038" s="2">
        <v>871</v>
      </c>
      <c r="I1038" s="3" t="s">
        <v>13</v>
      </c>
      <c r="J1038" s="4">
        <v>16</v>
      </c>
      <c r="K1038" s="8">
        <f>IFERROR(VLOOKUP(I1038, data!E:F, 2, FALSE), "Precio Unidad")</f>
        <v>63</v>
      </c>
      <c r="L1038" s="9">
        <f t="shared" si="17"/>
        <v>1008</v>
      </c>
    </row>
    <row r="1039" spans="1:12" ht="15" customHeight="1" x14ac:dyDescent="0.2">
      <c r="A1039" s="54">
        <v>46214</v>
      </c>
      <c r="F1039" s="7" t="str">
        <f>IFERROR(VLOOKUP(G1039, data!A:B, 2, FALSE), "Tienda")</f>
        <v>SC PACIFICO</v>
      </c>
      <c r="G1039" s="1">
        <v>1616</v>
      </c>
      <c r="H1039" s="2">
        <v>872</v>
      </c>
      <c r="I1039" s="3" t="s">
        <v>12</v>
      </c>
      <c r="J1039" s="4">
        <v>10</v>
      </c>
      <c r="K1039" s="8">
        <f>IFERROR(VLOOKUP(I1039, data!E:F, 2, FALSE), "Precio Unidad")</f>
        <v>95</v>
      </c>
      <c r="L1039" s="9">
        <f t="shared" si="17"/>
        <v>950</v>
      </c>
    </row>
    <row r="1040" spans="1:12" ht="15" customHeight="1" x14ac:dyDescent="0.2">
      <c r="A1040" s="54">
        <v>46214</v>
      </c>
      <c r="F1040" s="7" t="str">
        <f>IFERROR(VLOOKUP(G1040, data!A:B, 2, FALSE), "Tienda")</f>
        <v>SC PACIFICO</v>
      </c>
      <c r="G1040" s="1">
        <v>1616</v>
      </c>
      <c r="H1040" s="2">
        <v>872</v>
      </c>
      <c r="I1040" s="3" t="s">
        <v>13</v>
      </c>
      <c r="J1040" s="4">
        <v>16</v>
      </c>
      <c r="K1040" s="8">
        <f>IFERROR(VLOOKUP(I1040, data!E:F, 2, FALSE), "Precio Unidad")</f>
        <v>63</v>
      </c>
      <c r="L1040" s="9">
        <f t="shared" si="17"/>
        <v>1008</v>
      </c>
    </row>
    <row r="1041" spans="1:12" ht="15" customHeight="1" x14ac:dyDescent="0.2">
      <c r="A1041" s="54">
        <v>46214</v>
      </c>
      <c r="F1041" s="7" t="str">
        <f>IFERROR(VLOOKUP(G1041, data!A:B, 2, FALSE), "Tienda")</f>
        <v>SC MEXICALI NOVENA</v>
      </c>
      <c r="G1041" s="1">
        <v>1617</v>
      </c>
      <c r="H1041" s="2">
        <v>873</v>
      </c>
      <c r="I1041" s="3" t="s">
        <v>6</v>
      </c>
      <c r="J1041" s="4">
        <v>8</v>
      </c>
      <c r="K1041" s="8">
        <f>IFERROR(VLOOKUP(I1041, data!E:F, 2, FALSE), "Precio Unidad")</f>
        <v>167</v>
      </c>
      <c r="L1041" s="9">
        <f t="shared" si="17"/>
        <v>1336</v>
      </c>
    </row>
    <row r="1042" spans="1:12" ht="15" customHeight="1" x14ac:dyDescent="0.2">
      <c r="A1042" s="54">
        <v>46214</v>
      </c>
      <c r="F1042" s="7" t="str">
        <f>IFERROR(VLOOKUP(G1042, data!A:B, 2, FALSE), "Tienda")</f>
        <v>SC MEXICALI NOVENA</v>
      </c>
      <c r="G1042" s="1">
        <v>1617</v>
      </c>
      <c r="H1042" s="2">
        <v>873</v>
      </c>
      <c r="I1042" s="3" t="s">
        <v>7</v>
      </c>
      <c r="J1042" s="4">
        <v>10</v>
      </c>
      <c r="K1042" s="8">
        <f>IFERROR(VLOOKUP(I1042, data!E:F, 2, FALSE), "Precio Unidad")</f>
        <v>113</v>
      </c>
      <c r="L1042" s="9">
        <f t="shared" si="17"/>
        <v>1130</v>
      </c>
    </row>
    <row r="1043" spans="1:12" ht="15" customHeight="1" x14ac:dyDescent="0.2">
      <c r="A1043" s="54">
        <v>46214</v>
      </c>
      <c r="F1043" s="7" t="str">
        <f>IFERROR(VLOOKUP(G1043, data!A:B, 2, FALSE), "Tienda")</f>
        <v>SC MEXICALI NOVENA</v>
      </c>
      <c r="G1043" s="1">
        <v>1617</v>
      </c>
      <c r="H1043" s="2">
        <v>873</v>
      </c>
      <c r="I1043" s="3" t="s">
        <v>10</v>
      </c>
      <c r="J1043" s="4">
        <v>16</v>
      </c>
      <c r="K1043" s="8">
        <f>IFERROR(VLOOKUP(I1043, data!E:F, 2, FALSE), "Precio Unidad")</f>
        <v>151</v>
      </c>
      <c r="L1043" s="9">
        <f t="shared" si="17"/>
        <v>2416</v>
      </c>
    </row>
    <row r="1044" spans="1:12" ht="15" customHeight="1" x14ac:dyDescent="0.2">
      <c r="A1044" s="54">
        <v>46214</v>
      </c>
      <c r="F1044" s="7" t="str">
        <f>IFERROR(VLOOKUP(G1044, data!A:B, 2, FALSE), "Tienda")</f>
        <v>SC MEXICALI NOVENA</v>
      </c>
      <c r="G1044" s="1">
        <v>1617</v>
      </c>
      <c r="H1044" s="2">
        <v>873</v>
      </c>
      <c r="I1044" s="3" t="s">
        <v>11</v>
      </c>
      <c r="J1044" s="4">
        <v>6</v>
      </c>
      <c r="K1044" s="8">
        <f>IFERROR(VLOOKUP(I1044, data!E:F, 2, FALSE), "Precio Unidad")</f>
        <v>177</v>
      </c>
      <c r="L1044" s="9">
        <f t="shared" si="17"/>
        <v>1062</v>
      </c>
    </row>
    <row r="1045" spans="1:12" ht="15" customHeight="1" x14ac:dyDescent="0.2">
      <c r="A1045" s="54">
        <v>46214</v>
      </c>
      <c r="F1045" s="7" t="str">
        <f>IFERROR(VLOOKUP(G1045, data!A:B, 2, FALSE), "Tienda")</f>
        <v>SC MEXICALI NOVENA</v>
      </c>
      <c r="G1045" s="1">
        <v>1617</v>
      </c>
      <c r="H1045" s="2">
        <v>873</v>
      </c>
      <c r="I1045" s="3" t="s">
        <v>12</v>
      </c>
      <c r="J1045" s="4">
        <v>20</v>
      </c>
      <c r="K1045" s="8">
        <f>IFERROR(VLOOKUP(I1045, data!E:F, 2, FALSE), "Precio Unidad")</f>
        <v>95</v>
      </c>
      <c r="L1045" s="9">
        <f t="shared" si="17"/>
        <v>1900</v>
      </c>
    </row>
    <row r="1046" spans="1:12" ht="15" customHeight="1" x14ac:dyDescent="0.2">
      <c r="A1046" s="54">
        <v>46214</v>
      </c>
      <c r="F1046" s="7" t="str">
        <f>IFERROR(VLOOKUP(G1046, data!A:B, 2, FALSE), "Tienda")</f>
        <v>SC MEXICALI NOVENA</v>
      </c>
      <c r="G1046" s="1">
        <v>1617</v>
      </c>
      <c r="H1046" s="2">
        <v>873</v>
      </c>
      <c r="I1046" s="3" t="s">
        <v>13</v>
      </c>
      <c r="J1046" s="4">
        <v>16</v>
      </c>
      <c r="K1046" s="8">
        <f>IFERROR(VLOOKUP(I1046, data!E:F, 2, FALSE), "Precio Unidad")</f>
        <v>63</v>
      </c>
      <c r="L1046" s="9">
        <f t="shared" si="17"/>
        <v>1008</v>
      </c>
    </row>
    <row r="1047" spans="1:12" ht="15" customHeight="1" x14ac:dyDescent="0.2">
      <c r="A1047" s="54">
        <v>46214</v>
      </c>
      <c r="F1047" s="7" t="str">
        <f>IFERROR(VLOOKUP(G1047, data!A:B, 2, FALSE), "Tienda")</f>
        <v>SC LOMAS DE SANTA FE</v>
      </c>
      <c r="G1047" s="1">
        <v>190</v>
      </c>
      <c r="H1047" s="2">
        <v>874</v>
      </c>
      <c r="I1047" s="3" t="s">
        <v>10</v>
      </c>
      <c r="J1047" s="4">
        <v>8</v>
      </c>
      <c r="K1047" s="8">
        <f>IFERROR(VLOOKUP(I1047, data!E:F, 2, FALSE), "Precio Unidad")</f>
        <v>151</v>
      </c>
      <c r="L1047" s="9">
        <f t="shared" si="17"/>
        <v>1208</v>
      </c>
    </row>
    <row r="1048" spans="1:12" ht="15" customHeight="1" x14ac:dyDescent="0.2">
      <c r="A1048" s="54">
        <v>46214</v>
      </c>
      <c r="F1048" s="7" t="str">
        <f>IFERROR(VLOOKUP(G1048, data!A:B, 2, FALSE), "Tienda")</f>
        <v>SC LOMAS DE SANTA FE</v>
      </c>
      <c r="G1048" s="1">
        <v>190</v>
      </c>
      <c r="H1048" s="2">
        <v>874</v>
      </c>
      <c r="I1048" s="3" t="s">
        <v>13</v>
      </c>
      <c r="J1048" s="4">
        <v>16</v>
      </c>
      <c r="K1048" s="8">
        <f>IFERROR(VLOOKUP(I1048, data!E:F, 2, FALSE), "Precio Unidad")</f>
        <v>63</v>
      </c>
      <c r="L1048" s="9">
        <f t="shared" si="17"/>
        <v>1008</v>
      </c>
    </row>
    <row r="1049" spans="1:12" ht="15" customHeight="1" x14ac:dyDescent="0.2">
      <c r="A1049" s="54">
        <v>46214</v>
      </c>
      <c r="F1049" s="7" t="str">
        <f>IFERROR(VLOOKUP(G1049, data!A:B, 2, FALSE), "Tienda")</f>
        <v>SC MEXICALI</v>
      </c>
      <c r="G1049" s="1">
        <v>2304</v>
      </c>
      <c r="H1049" s="2">
        <v>875</v>
      </c>
      <c r="I1049" s="3" t="s">
        <v>6</v>
      </c>
      <c r="J1049" s="4">
        <v>8</v>
      </c>
      <c r="K1049" s="8">
        <f>IFERROR(VLOOKUP(I1049, data!E:F, 2, FALSE), "Precio Unidad")</f>
        <v>167</v>
      </c>
      <c r="L1049" s="9">
        <f t="shared" si="17"/>
        <v>1336</v>
      </c>
    </row>
    <row r="1050" spans="1:12" ht="15" customHeight="1" x14ac:dyDescent="0.2">
      <c r="A1050" s="54">
        <v>46214</v>
      </c>
      <c r="F1050" s="7" t="str">
        <f>IFERROR(VLOOKUP(G1050, data!A:B, 2, FALSE), "Tienda")</f>
        <v>SC MEXICALI</v>
      </c>
      <c r="G1050" s="1">
        <v>2304</v>
      </c>
      <c r="H1050" s="2">
        <v>875</v>
      </c>
      <c r="I1050" s="3" t="s">
        <v>10</v>
      </c>
      <c r="J1050" s="4">
        <v>8</v>
      </c>
      <c r="K1050" s="8">
        <f>IFERROR(VLOOKUP(I1050, data!E:F, 2, FALSE), "Precio Unidad")</f>
        <v>151</v>
      </c>
      <c r="L1050" s="9">
        <f t="shared" si="17"/>
        <v>1208</v>
      </c>
    </row>
    <row r="1051" spans="1:12" ht="15" customHeight="1" x14ac:dyDescent="0.2">
      <c r="A1051" s="54">
        <v>46214</v>
      </c>
      <c r="F1051" s="7" t="str">
        <f>IFERROR(VLOOKUP(G1051, data!A:B, 2, FALSE), "Tienda")</f>
        <v>SC MEXICALI</v>
      </c>
      <c r="G1051" s="1">
        <v>2304</v>
      </c>
      <c r="H1051" s="2">
        <v>875</v>
      </c>
      <c r="I1051" s="3" t="s">
        <v>11</v>
      </c>
      <c r="J1051" s="4">
        <v>6</v>
      </c>
      <c r="K1051" s="8">
        <f>IFERROR(VLOOKUP(I1051, data!E:F, 2, FALSE), "Precio Unidad")</f>
        <v>177</v>
      </c>
      <c r="L1051" s="9">
        <f t="shared" si="17"/>
        <v>1062</v>
      </c>
    </row>
    <row r="1052" spans="1:12" ht="15" customHeight="1" x14ac:dyDescent="0.2">
      <c r="A1052" s="54">
        <v>46214</v>
      </c>
      <c r="F1052" s="7" t="str">
        <f>IFERROR(VLOOKUP(G1052, data!A:B, 2, FALSE), "Tienda")</f>
        <v>SC MEXICALI</v>
      </c>
      <c r="G1052" s="1">
        <v>2304</v>
      </c>
      <c r="H1052" s="2">
        <v>875</v>
      </c>
      <c r="I1052" s="3" t="s">
        <v>12</v>
      </c>
      <c r="J1052" s="4">
        <v>10</v>
      </c>
      <c r="K1052" s="8">
        <f>IFERROR(VLOOKUP(I1052, data!E:F, 2, FALSE), "Precio Unidad")</f>
        <v>95</v>
      </c>
      <c r="L1052" s="9">
        <f t="shared" si="17"/>
        <v>950</v>
      </c>
    </row>
    <row r="1053" spans="1:12" ht="15" customHeight="1" x14ac:dyDescent="0.2">
      <c r="A1053" s="54">
        <v>46214</v>
      </c>
      <c r="F1053" s="7" t="str">
        <f>IFERROR(VLOOKUP(G1053, data!A:B, 2, FALSE), "Tienda")</f>
        <v>SC MEXICALI</v>
      </c>
      <c r="G1053" s="1">
        <v>2304</v>
      </c>
      <c r="H1053" s="2">
        <v>875</v>
      </c>
      <c r="I1053" s="3" t="s">
        <v>13</v>
      </c>
      <c r="J1053" s="4">
        <v>16</v>
      </c>
      <c r="K1053" s="8">
        <f>IFERROR(VLOOKUP(I1053, data!E:F, 2, FALSE), "Precio Unidad")</f>
        <v>63</v>
      </c>
      <c r="L1053" s="9">
        <f t="shared" si="17"/>
        <v>1008</v>
      </c>
    </row>
    <row r="1054" spans="1:12" ht="15" customHeight="1" x14ac:dyDescent="0.2">
      <c r="A1054" s="54">
        <v>46214</v>
      </c>
      <c r="F1054" s="7" t="str">
        <f>IFERROR(VLOOKUP(G1054, data!A:B, 2, FALSE), "Tienda")</f>
        <v>SC ENSENADA</v>
      </c>
      <c r="G1054" s="1">
        <v>3015</v>
      </c>
      <c r="H1054" s="2">
        <v>876</v>
      </c>
      <c r="I1054" s="3" t="s">
        <v>12</v>
      </c>
      <c r="J1054" s="4">
        <v>10</v>
      </c>
      <c r="K1054" s="8">
        <f>IFERROR(VLOOKUP(I1054, data!E:F, 2, FALSE), "Precio Unidad")</f>
        <v>95</v>
      </c>
      <c r="L1054" s="9">
        <f t="shared" si="17"/>
        <v>950</v>
      </c>
    </row>
    <row r="1055" spans="1:12" ht="15" customHeight="1" x14ac:dyDescent="0.2">
      <c r="A1055" s="54">
        <v>46214</v>
      </c>
      <c r="F1055" s="7" t="str">
        <f>IFERROR(VLOOKUP(G1055, data!A:B, 2, FALSE), "Tienda")</f>
        <v>SC ENSENADA</v>
      </c>
      <c r="G1055" s="1">
        <v>3015</v>
      </c>
      <c r="H1055" s="2">
        <v>876</v>
      </c>
      <c r="I1055" s="3" t="s">
        <v>13</v>
      </c>
      <c r="J1055" s="4">
        <v>8</v>
      </c>
      <c r="K1055" s="8">
        <f>IFERROR(VLOOKUP(I1055, data!E:F, 2, FALSE), "Precio Unidad")</f>
        <v>63</v>
      </c>
      <c r="L1055" s="9">
        <f t="shared" si="17"/>
        <v>504</v>
      </c>
    </row>
    <row r="1056" spans="1:12" ht="15" customHeight="1" x14ac:dyDescent="0.2">
      <c r="A1056" s="54">
        <v>46214</v>
      </c>
      <c r="F1056" s="7" t="str">
        <f>IFERROR(VLOOKUP(G1056, data!A:B, 2, FALSE), "Tienda")</f>
        <v>SC GALERIAS DEL VALLE</v>
      </c>
      <c r="G1056" s="1">
        <v>4026</v>
      </c>
      <c r="H1056" s="2">
        <v>877</v>
      </c>
      <c r="I1056" s="3" t="s">
        <v>6</v>
      </c>
      <c r="J1056" s="4">
        <v>4</v>
      </c>
      <c r="K1056" s="8">
        <f>IFERROR(VLOOKUP(I1056, data!E:F, 2, FALSE), "Precio Unidad")</f>
        <v>167</v>
      </c>
      <c r="L1056" s="9">
        <f t="shared" si="17"/>
        <v>668</v>
      </c>
    </row>
    <row r="1057" spans="1:12" ht="15" customHeight="1" x14ac:dyDescent="0.2">
      <c r="A1057" s="54">
        <v>46214</v>
      </c>
      <c r="F1057" s="7" t="str">
        <f>IFERROR(VLOOKUP(G1057, data!A:B, 2, FALSE), "Tienda")</f>
        <v>SC GALERIAS DEL VALLE</v>
      </c>
      <c r="G1057" s="1">
        <v>4026</v>
      </c>
      <c r="H1057" s="2">
        <v>877</v>
      </c>
      <c r="I1057" s="3" t="s">
        <v>7</v>
      </c>
      <c r="J1057" s="4">
        <v>6</v>
      </c>
      <c r="K1057" s="8">
        <f>IFERROR(VLOOKUP(I1057, data!E:F, 2, FALSE), "Precio Unidad")</f>
        <v>113</v>
      </c>
      <c r="L1057" s="9">
        <f t="shared" si="17"/>
        <v>678</v>
      </c>
    </row>
    <row r="1058" spans="1:12" ht="15" customHeight="1" x14ac:dyDescent="0.2">
      <c r="A1058" s="54">
        <v>46214</v>
      </c>
      <c r="F1058" s="7" t="str">
        <f>IFERROR(VLOOKUP(G1058, data!A:B, 2, FALSE), "Tienda")</f>
        <v>SC GALERIAS DEL VALLE</v>
      </c>
      <c r="G1058" s="1">
        <v>4026</v>
      </c>
      <c r="H1058" s="2">
        <v>877</v>
      </c>
      <c r="I1058" s="3" t="s">
        <v>10</v>
      </c>
      <c r="J1058" s="4">
        <v>8</v>
      </c>
      <c r="K1058" s="8">
        <f>IFERROR(VLOOKUP(I1058, data!E:F, 2, FALSE), "Precio Unidad")</f>
        <v>151</v>
      </c>
      <c r="L1058" s="9">
        <f t="shared" si="17"/>
        <v>1208</v>
      </c>
    </row>
    <row r="1059" spans="1:12" ht="15" customHeight="1" x14ac:dyDescent="0.2">
      <c r="A1059" s="54">
        <v>46214</v>
      </c>
      <c r="F1059" s="7" t="str">
        <f>IFERROR(VLOOKUP(G1059, data!A:B, 2, FALSE), "Tienda")</f>
        <v>SC GALERIAS DEL VALLE</v>
      </c>
      <c r="G1059" s="1">
        <v>4026</v>
      </c>
      <c r="H1059" s="2">
        <v>877</v>
      </c>
      <c r="I1059" s="3" t="s">
        <v>11</v>
      </c>
      <c r="J1059" s="4">
        <v>6</v>
      </c>
      <c r="K1059" s="8">
        <f>IFERROR(VLOOKUP(I1059, data!E:F, 2, FALSE), "Precio Unidad")</f>
        <v>177</v>
      </c>
      <c r="L1059" s="9">
        <f t="shared" si="17"/>
        <v>1062</v>
      </c>
    </row>
    <row r="1060" spans="1:12" ht="15" customHeight="1" x14ac:dyDescent="0.2">
      <c r="A1060" s="54">
        <v>46214</v>
      </c>
      <c r="F1060" s="7" t="str">
        <f>IFERROR(VLOOKUP(G1060, data!A:B, 2, FALSE), "Tienda")</f>
        <v>SC GALERIAS DEL VALLE</v>
      </c>
      <c r="G1060" s="1">
        <v>4026</v>
      </c>
      <c r="H1060" s="2">
        <v>877</v>
      </c>
      <c r="I1060" s="3" t="s">
        <v>12</v>
      </c>
      <c r="J1060" s="4">
        <v>10</v>
      </c>
      <c r="K1060" s="8">
        <f>IFERROR(VLOOKUP(I1060, data!E:F, 2, FALSE), "Precio Unidad")</f>
        <v>95</v>
      </c>
      <c r="L1060" s="9">
        <f t="shared" si="17"/>
        <v>950</v>
      </c>
    </row>
    <row r="1061" spans="1:12" ht="15" customHeight="1" x14ac:dyDescent="0.2">
      <c r="A1061" s="54">
        <v>46214</v>
      </c>
      <c r="F1061" s="7" t="str">
        <f>IFERROR(VLOOKUP(G1061, data!A:B, 2, FALSE), "Tienda")</f>
        <v>SC GALERIAS DEL VALLE</v>
      </c>
      <c r="G1061" s="1">
        <v>4026</v>
      </c>
      <c r="H1061" s="2">
        <v>877</v>
      </c>
      <c r="I1061" s="3" t="s">
        <v>13</v>
      </c>
      <c r="J1061" s="4">
        <v>16</v>
      </c>
      <c r="K1061" s="8">
        <f>IFERROR(VLOOKUP(I1061, data!E:F, 2, FALSE), "Precio Unidad")</f>
        <v>63</v>
      </c>
      <c r="L1061" s="9">
        <f t="shared" si="17"/>
        <v>1008</v>
      </c>
    </row>
    <row r="1062" spans="1:12" ht="15" customHeight="1" x14ac:dyDescent="0.2">
      <c r="A1062" s="54">
        <v>46214</v>
      </c>
      <c r="F1062" s="7" t="str">
        <f>IFERROR(VLOOKUP(G1062, data!A:B, 2, FALSE), "Tienda")</f>
        <v>SC ROSARITO</v>
      </c>
      <c r="G1062" s="1">
        <v>4187</v>
      </c>
      <c r="H1062" s="2">
        <v>878</v>
      </c>
      <c r="I1062" s="3" t="s">
        <v>7</v>
      </c>
      <c r="J1062" s="4">
        <v>10</v>
      </c>
      <c r="K1062" s="8">
        <f>IFERROR(VLOOKUP(I1062, data!E:F, 2, FALSE), "Precio Unidad")</f>
        <v>113</v>
      </c>
      <c r="L1062" s="9">
        <f t="shared" si="17"/>
        <v>1130</v>
      </c>
    </row>
    <row r="1063" spans="1:12" ht="15" customHeight="1" x14ac:dyDescent="0.2">
      <c r="A1063" s="54">
        <v>46214</v>
      </c>
      <c r="F1063" s="7" t="str">
        <f>IFERROR(VLOOKUP(G1063, data!A:B, 2, FALSE), "Tienda")</f>
        <v>SC ROSARITO</v>
      </c>
      <c r="G1063" s="1">
        <v>4187</v>
      </c>
      <c r="H1063" s="2">
        <v>878</v>
      </c>
      <c r="I1063" s="3" t="s">
        <v>10</v>
      </c>
      <c r="J1063" s="4">
        <v>8</v>
      </c>
      <c r="K1063" s="8">
        <f>IFERROR(VLOOKUP(I1063, data!E:F, 2, FALSE), "Precio Unidad")</f>
        <v>151</v>
      </c>
      <c r="L1063" s="9">
        <f t="shared" si="17"/>
        <v>1208</v>
      </c>
    </row>
    <row r="1064" spans="1:12" ht="15" customHeight="1" x14ac:dyDescent="0.2">
      <c r="A1064" s="54">
        <v>46214</v>
      </c>
      <c r="F1064" s="7" t="str">
        <f>IFERROR(VLOOKUP(G1064, data!A:B, 2, FALSE), "Tienda")</f>
        <v>SC ROSARITO</v>
      </c>
      <c r="G1064" s="1">
        <v>4187</v>
      </c>
      <c r="H1064" s="2">
        <v>878</v>
      </c>
      <c r="I1064" s="3" t="s">
        <v>12</v>
      </c>
      <c r="J1064" s="4">
        <v>10</v>
      </c>
      <c r="K1064" s="8">
        <f>IFERROR(VLOOKUP(I1064, data!E:F, 2, FALSE), "Precio Unidad")</f>
        <v>95</v>
      </c>
      <c r="L1064" s="9">
        <f t="shared" si="17"/>
        <v>950</v>
      </c>
    </row>
    <row r="1065" spans="1:12" ht="15" customHeight="1" x14ac:dyDescent="0.2">
      <c r="A1065" s="54">
        <v>46214</v>
      </c>
      <c r="F1065" s="7" t="str">
        <f>IFERROR(VLOOKUP(G1065, data!A:B, 2, FALSE), "Tienda")</f>
        <v>SC ROSARITO</v>
      </c>
      <c r="G1065" s="1">
        <v>4187</v>
      </c>
      <c r="H1065" s="2">
        <v>878</v>
      </c>
      <c r="I1065" s="3" t="s">
        <v>13</v>
      </c>
      <c r="J1065" s="4">
        <v>16</v>
      </c>
      <c r="K1065" s="8">
        <f>IFERROR(VLOOKUP(I1065, data!E:F, 2, FALSE), "Precio Unidad")</f>
        <v>63</v>
      </c>
      <c r="L1065" s="9">
        <f t="shared" si="17"/>
        <v>1008</v>
      </c>
    </row>
    <row r="1066" spans="1:12" ht="15" customHeight="1" x14ac:dyDescent="0.2">
      <c r="A1066" s="54">
        <v>46214</v>
      </c>
      <c r="F1066" s="7" t="str">
        <f>IFERROR(VLOOKUP(G1066, data!A:B, 2, FALSE), "Tienda")</f>
        <v>SC NUEVO MEXICALI</v>
      </c>
      <c r="G1066" s="1">
        <v>5041</v>
      </c>
      <c r="H1066" s="2">
        <v>879</v>
      </c>
      <c r="I1066" s="3" t="s">
        <v>6</v>
      </c>
      <c r="J1066" s="4">
        <v>8</v>
      </c>
      <c r="K1066" s="8">
        <f>IFERROR(VLOOKUP(I1066, data!E:F, 2, FALSE), "Precio Unidad")</f>
        <v>167</v>
      </c>
      <c r="L1066" s="9">
        <f t="shared" si="17"/>
        <v>1336</v>
      </c>
    </row>
    <row r="1067" spans="1:12" ht="15" customHeight="1" x14ac:dyDescent="0.2">
      <c r="A1067" s="54">
        <v>46214</v>
      </c>
      <c r="F1067" s="7" t="str">
        <f>IFERROR(VLOOKUP(G1067, data!A:B, 2, FALSE), "Tienda")</f>
        <v>SC NUEVO MEXICALI</v>
      </c>
      <c r="G1067" s="1">
        <v>5041</v>
      </c>
      <c r="H1067" s="2">
        <v>879</v>
      </c>
      <c r="I1067" s="3" t="s">
        <v>7</v>
      </c>
      <c r="J1067" s="4">
        <v>10</v>
      </c>
      <c r="K1067" s="8">
        <f>IFERROR(VLOOKUP(I1067, data!E:F, 2, FALSE), "Precio Unidad")</f>
        <v>113</v>
      </c>
      <c r="L1067" s="9">
        <f t="shared" si="17"/>
        <v>1130</v>
      </c>
    </row>
    <row r="1068" spans="1:12" ht="15" customHeight="1" x14ac:dyDescent="0.2">
      <c r="A1068" s="54">
        <v>46214</v>
      </c>
      <c r="F1068" s="7" t="str">
        <f>IFERROR(VLOOKUP(G1068, data!A:B, 2, FALSE), "Tienda")</f>
        <v>SC NUEVO MEXICALI</v>
      </c>
      <c r="G1068" s="1">
        <v>5041</v>
      </c>
      <c r="H1068" s="2">
        <v>879</v>
      </c>
      <c r="I1068" s="3" t="s">
        <v>10</v>
      </c>
      <c r="J1068" s="4">
        <v>8</v>
      </c>
      <c r="K1068" s="8">
        <f>IFERROR(VLOOKUP(I1068, data!E:F, 2, FALSE), "Precio Unidad")</f>
        <v>151</v>
      </c>
      <c r="L1068" s="9">
        <f t="shared" si="17"/>
        <v>1208</v>
      </c>
    </row>
    <row r="1069" spans="1:12" ht="15" customHeight="1" x14ac:dyDescent="0.2">
      <c r="A1069" s="54">
        <v>46214</v>
      </c>
      <c r="F1069" s="7" t="str">
        <f>IFERROR(VLOOKUP(G1069, data!A:B, 2, FALSE), "Tienda")</f>
        <v>SC NUEVO MEXICALI</v>
      </c>
      <c r="G1069" s="1">
        <v>5041</v>
      </c>
      <c r="H1069" s="2">
        <v>879</v>
      </c>
      <c r="I1069" s="3" t="s">
        <v>11</v>
      </c>
      <c r="J1069" s="4">
        <v>6</v>
      </c>
      <c r="K1069" s="8">
        <f>IFERROR(VLOOKUP(I1069, data!E:F, 2, FALSE), "Precio Unidad")</f>
        <v>177</v>
      </c>
      <c r="L1069" s="9">
        <f t="shared" si="17"/>
        <v>1062</v>
      </c>
    </row>
    <row r="1070" spans="1:12" ht="15" customHeight="1" x14ac:dyDescent="0.2">
      <c r="A1070" s="54">
        <v>46214</v>
      </c>
      <c r="F1070" s="7" t="str">
        <f>IFERROR(VLOOKUP(G1070, data!A:B, 2, FALSE), "Tienda")</f>
        <v>SC NUEVO MEXICALI</v>
      </c>
      <c r="G1070" s="1">
        <v>5041</v>
      </c>
      <c r="H1070" s="2">
        <v>879</v>
      </c>
      <c r="I1070" s="3" t="s">
        <v>12</v>
      </c>
      <c r="J1070" s="4">
        <v>20</v>
      </c>
      <c r="K1070" s="8">
        <f>IFERROR(VLOOKUP(I1070, data!E:F, 2, FALSE), "Precio Unidad")</f>
        <v>95</v>
      </c>
      <c r="L1070" s="9">
        <f t="shared" si="17"/>
        <v>1900</v>
      </c>
    </row>
    <row r="1071" spans="1:12" ht="15" customHeight="1" x14ac:dyDescent="0.2">
      <c r="A1071" s="54">
        <v>46214</v>
      </c>
      <c r="F1071" s="7" t="str">
        <f>IFERROR(VLOOKUP(G1071, data!A:B, 2, FALSE), "Tienda")</f>
        <v>SC NUEVO MEXICALI</v>
      </c>
      <c r="G1071" s="1">
        <v>5041</v>
      </c>
      <c r="H1071" s="2">
        <v>879</v>
      </c>
      <c r="I1071" s="3" t="s">
        <v>13</v>
      </c>
      <c r="J1071" s="4">
        <v>24</v>
      </c>
      <c r="K1071" s="8">
        <f>IFERROR(VLOOKUP(I1071, data!E:F, 2, FALSE), "Precio Unidad")</f>
        <v>63</v>
      </c>
      <c r="L1071" s="9">
        <f t="shared" si="17"/>
        <v>1512</v>
      </c>
    </row>
    <row r="1072" spans="1:12" ht="15" customHeight="1" x14ac:dyDescent="0.2">
      <c r="A1072" s="54">
        <v>46216</v>
      </c>
      <c r="F1072" s="7" t="str">
        <f>IFERROR(VLOOKUP(G1072, data!A:B, 2, FALSE), "Tienda")</f>
        <v>SC TECATE GARITA</v>
      </c>
      <c r="G1072" s="1">
        <v>5295</v>
      </c>
      <c r="H1072" s="2">
        <v>880</v>
      </c>
      <c r="I1072" s="3" t="s">
        <v>6</v>
      </c>
      <c r="J1072" s="4">
        <v>4</v>
      </c>
      <c r="K1072" s="8">
        <f>IFERROR(VLOOKUP(I1072, data!E:F, 2, FALSE), "Precio Unidad")</f>
        <v>167</v>
      </c>
      <c r="L1072" s="9">
        <f t="shared" si="17"/>
        <v>668</v>
      </c>
    </row>
    <row r="1073" spans="1:12" ht="15" customHeight="1" x14ac:dyDescent="0.2">
      <c r="A1073" s="54">
        <v>46216</v>
      </c>
      <c r="F1073" s="7" t="str">
        <f>IFERROR(VLOOKUP(G1073, data!A:B, 2, FALSE), "Tienda")</f>
        <v>SC TECATE GARITA</v>
      </c>
      <c r="G1073" s="1">
        <v>5295</v>
      </c>
      <c r="H1073" s="2">
        <v>880</v>
      </c>
      <c r="I1073" s="3" t="s">
        <v>7</v>
      </c>
      <c r="J1073" s="4">
        <v>6</v>
      </c>
      <c r="K1073" s="8">
        <f>IFERROR(VLOOKUP(I1073, data!E:F, 2, FALSE), "Precio Unidad")</f>
        <v>113</v>
      </c>
      <c r="L1073" s="9">
        <f t="shared" si="17"/>
        <v>678</v>
      </c>
    </row>
    <row r="1074" spans="1:12" ht="15" customHeight="1" x14ac:dyDescent="0.2">
      <c r="A1074" s="54">
        <v>46216</v>
      </c>
      <c r="F1074" s="7" t="str">
        <f>IFERROR(VLOOKUP(G1074, data!A:B, 2, FALSE), "Tienda")</f>
        <v>SC TECATE GARITA</v>
      </c>
      <c r="G1074" s="1">
        <v>5295</v>
      </c>
      <c r="H1074" s="2">
        <v>880</v>
      </c>
      <c r="I1074" s="3" t="s">
        <v>10</v>
      </c>
      <c r="J1074" s="4">
        <v>8</v>
      </c>
      <c r="K1074" s="8">
        <f>IFERROR(VLOOKUP(I1074, data!E:F, 2, FALSE), "Precio Unidad")</f>
        <v>151</v>
      </c>
      <c r="L1074" s="9">
        <f t="shared" si="17"/>
        <v>1208</v>
      </c>
    </row>
    <row r="1075" spans="1:12" ht="15" customHeight="1" x14ac:dyDescent="0.2">
      <c r="A1075" s="54">
        <v>46216</v>
      </c>
      <c r="F1075" s="7" t="str">
        <f>IFERROR(VLOOKUP(G1075, data!A:B, 2, FALSE), "Tienda")</f>
        <v>SC TECATE GARITA</v>
      </c>
      <c r="G1075" s="1">
        <v>5295</v>
      </c>
      <c r="H1075" s="2">
        <v>880</v>
      </c>
      <c r="I1075" s="3" t="s">
        <v>13</v>
      </c>
      <c r="J1075" s="4">
        <v>16</v>
      </c>
      <c r="K1075" s="8">
        <f>IFERROR(VLOOKUP(I1075, data!E:F, 2, FALSE), "Precio Unidad")</f>
        <v>63</v>
      </c>
      <c r="L1075" s="9">
        <f t="shared" si="17"/>
        <v>1008</v>
      </c>
    </row>
    <row r="1076" spans="1:12" ht="15" customHeight="1" x14ac:dyDescent="0.2">
      <c r="A1076" s="54">
        <v>46216</v>
      </c>
      <c r="F1076" s="7" t="str">
        <f>IFERROR(VLOOKUP(G1076, data!A:B, 2, FALSE), "Tienda")</f>
        <v>SC TIJUANA 2000</v>
      </c>
      <c r="G1076" s="1">
        <v>4155</v>
      </c>
      <c r="H1076" s="2">
        <v>881</v>
      </c>
      <c r="I1076" s="3" t="s">
        <v>7</v>
      </c>
      <c r="J1076" s="4">
        <v>10</v>
      </c>
      <c r="K1076" s="8">
        <f>IFERROR(VLOOKUP(I1076, data!E:F, 2, FALSE), "Precio Unidad")</f>
        <v>113</v>
      </c>
      <c r="L1076" s="9">
        <f t="shared" si="17"/>
        <v>1130</v>
      </c>
    </row>
    <row r="1077" spans="1:12" ht="15" customHeight="1" x14ac:dyDescent="0.2">
      <c r="A1077" s="54">
        <v>46216</v>
      </c>
      <c r="F1077" s="7" t="str">
        <f>IFERROR(VLOOKUP(G1077, data!A:B, 2, FALSE), "Tienda")</f>
        <v>SC TIJUANA 2000</v>
      </c>
      <c r="G1077" s="1">
        <v>4155</v>
      </c>
      <c r="H1077" s="2">
        <v>881</v>
      </c>
      <c r="I1077" s="3" t="s">
        <v>12</v>
      </c>
      <c r="J1077" s="4">
        <v>10</v>
      </c>
      <c r="K1077" s="8">
        <f>IFERROR(VLOOKUP(I1077, data!E:F, 2, FALSE), "Precio Unidad")</f>
        <v>95</v>
      </c>
      <c r="L1077" s="9">
        <f t="shared" si="17"/>
        <v>950</v>
      </c>
    </row>
    <row r="1078" spans="1:12" ht="15" customHeight="1" x14ac:dyDescent="0.2">
      <c r="A1078" s="54">
        <v>46216</v>
      </c>
      <c r="F1078" s="7" t="str">
        <f>IFERROR(VLOOKUP(G1078, data!A:B, 2, FALSE), "Tienda")</f>
        <v>SC TIJUANA 2000</v>
      </c>
      <c r="G1078" s="1">
        <v>4155</v>
      </c>
      <c r="H1078" s="2">
        <v>881</v>
      </c>
      <c r="I1078" s="3" t="s">
        <v>13</v>
      </c>
      <c r="J1078" s="4">
        <v>8</v>
      </c>
      <c r="K1078" s="8">
        <f>IFERROR(VLOOKUP(I1078, data!E:F, 2, FALSE), "Precio Unidad")</f>
        <v>63</v>
      </c>
      <c r="L1078" s="9">
        <f t="shared" si="17"/>
        <v>504</v>
      </c>
    </row>
    <row r="1079" spans="1:12" ht="15" customHeight="1" x14ac:dyDescent="0.2">
      <c r="A1079" s="54">
        <v>46216</v>
      </c>
      <c r="F1079" s="7" t="str">
        <f>IFERROR(VLOOKUP(G1079, data!A:B, 2, FALSE), "Tienda")</f>
        <v>SC TIJUANA HIPODROMO</v>
      </c>
      <c r="G1079" s="1">
        <v>4011</v>
      </c>
      <c r="H1079" s="2">
        <v>882</v>
      </c>
      <c r="I1079" s="3" t="s">
        <v>12</v>
      </c>
      <c r="J1079" s="4">
        <v>10</v>
      </c>
      <c r="K1079" s="8">
        <f>IFERROR(VLOOKUP(I1079, data!E:F, 2, FALSE), "Precio Unidad")</f>
        <v>95</v>
      </c>
      <c r="L1079" s="9">
        <f t="shared" si="17"/>
        <v>950</v>
      </c>
    </row>
    <row r="1080" spans="1:12" ht="15" customHeight="1" x14ac:dyDescent="0.2">
      <c r="A1080" s="54">
        <v>46216</v>
      </c>
      <c r="F1080" s="7" t="str">
        <f>IFERROR(VLOOKUP(G1080, data!A:B, 2, FALSE), "Tienda")</f>
        <v>SC TIJUANA HIPODROMO</v>
      </c>
      <c r="G1080" s="1">
        <v>4011</v>
      </c>
      <c r="H1080" s="2">
        <v>882</v>
      </c>
      <c r="I1080" s="3" t="s">
        <v>13</v>
      </c>
      <c r="J1080" s="4">
        <v>16</v>
      </c>
      <c r="K1080" s="8">
        <f>IFERROR(VLOOKUP(I1080, data!E:F, 2, FALSE), "Precio Unidad")</f>
        <v>63</v>
      </c>
      <c r="L1080" s="9">
        <f t="shared" si="17"/>
        <v>1008</v>
      </c>
    </row>
    <row r="1081" spans="1:12" ht="15" customHeight="1" x14ac:dyDescent="0.2">
      <c r="A1081" s="54">
        <v>46216</v>
      </c>
      <c r="F1081" s="7" t="str">
        <f>IFERROR(VLOOKUP(G1081, data!A:B, 2, FALSE), "Tienda")</f>
        <v>SC DIAZ ORDAZ</v>
      </c>
      <c r="G1081" s="1">
        <v>3664</v>
      </c>
      <c r="H1081" s="2">
        <v>883</v>
      </c>
      <c r="I1081" s="3" t="s">
        <v>10</v>
      </c>
      <c r="J1081" s="4">
        <v>8</v>
      </c>
      <c r="K1081" s="8">
        <f>IFERROR(VLOOKUP(I1081, data!E:F, 2, FALSE), "Precio Unidad")</f>
        <v>151</v>
      </c>
      <c r="L1081" s="9">
        <f t="shared" si="17"/>
        <v>1208</v>
      </c>
    </row>
    <row r="1082" spans="1:12" ht="15" customHeight="1" x14ac:dyDescent="0.2">
      <c r="A1082" s="54">
        <v>46216</v>
      </c>
      <c r="F1082" s="7" t="str">
        <f>IFERROR(VLOOKUP(G1082, data!A:B, 2, FALSE), "Tienda")</f>
        <v>SC DIAZ ORDAZ</v>
      </c>
      <c r="G1082" s="1">
        <v>3664</v>
      </c>
      <c r="H1082" s="2">
        <v>883</v>
      </c>
      <c r="I1082" s="3" t="s">
        <v>12</v>
      </c>
      <c r="J1082" s="4">
        <v>10</v>
      </c>
      <c r="K1082" s="8">
        <f>IFERROR(VLOOKUP(I1082, data!E:F, 2, FALSE), "Precio Unidad")</f>
        <v>95</v>
      </c>
      <c r="L1082" s="9">
        <f t="shared" si="17"/>
        <v>950</v>
      </c>
    </row>
    <row r="1083" spans="1:12" ht="15" customHeight="1" x14ac:dyDescent="0.2">
      <c r="A1083" s="54">
        <v>46216</v>
      </c>
      <c r="F1083" s="7" t="str">
        <f>IFERROR(VLOOKUP(G1083, data!A:B, 2, FALSE), "Tienda")</f>
        <v>SC DIAZ ORDAZ</v>
      </c>
      <c r="G1083" s="1">
        <v>3664</v>
      </c>
      <c r="H1083" s="2">
        <v>883</v>
      </c>
      <c r="I1083" s="3" t="s">
        <v>13</v>
      </c>
      <c r="J1083" s="4">
        <v>16</v>
      </c>
      <c r="K1083" s="8">
        <f>IFERROR(VLOOKUP(I1083, data!E:F, 2, FALSE), "Precio Unidad")</f>
        <v>63</v>
      </c>
      <c r="L1083" s="9">
        <f t="shared" si="17"/>
        <v>1008</v>
      </c>
    </row>
    <row r="1084" spans="1:12" ht="15" customHeight="1" x14ac:dyDescent="0.2">
      <c r="A1084" s="54">
        <v>46216</v>
      </c>
      <c r="F1084" s="7" t="str">
        <f>IFERROR(VLOOKUP(G1084, data!A:B, 2, FALSE), "Tienda")</f>
        <v>SC MACROPLAZA INSURGENTES</v>
      </c>
      <c r="G1084" s="1">
        <v>2023</v>
      </c>
      <c r="H1084" s="2">
        <v>884</v>
      </c>
      <c r="I1084" s="3" t="s">
        <v>6</v>
      </c>
      <c r="J1084" s="4">
        <v>4</v>
      </c>
      <c r="K1084" s="8">
        <f>IFERROR(VLOOKUP(I1084, data!E:F, 2, FALSE), "Precio Unidad")</f>
        <v>167</v>
      </c>
      <c r="L1084" s="9">
        <f t="shared" si="17"/>
        <v>668</v>
      </c>
    </row>
    <row r="1085" spans="1:12" ht="15" customHeight="1" x14ac:dyDescent="0.2">
      <c r="A1085" s="54">
        <v>46216</v>
      </c>
      <c r="F1085" s="7" t="str">
        <f>IFERROR(VLOOKUP(G1085, data!A:B, 2, FALSE), "Tienda")</f>
        <v>SC MACROPLAZA INSURGENTES</v>
      </c>
      <c r="G1085" s="1">
        <v>2023</v>
      </c>
      <c r="H1085" s="2">
        <v>884</v>
      </c>
      <c r="I1085" s="3" t="s">
        <v>7</v>
      </c>
      <c r="J1085" s="4">
        <v>6</v>
      </c>
      <c r="K1085" s="8">
        <f>IFERROR(VLOOKUP(I1085, data!E:F, 2, FALSE), "Precio Unidad")</f>
        <v>113</v>
      </c>
      <c r="L1085" s="9">
        <f t="shared" si="17"/>
        <v>678</v>
      </c>
    </row>
    <row r="1086" spans="1:12" ht="15" customHeight="1" x14ac:dyDescent="0.2">
      <c r="A1086" s="54">
        <v>46216</v>
      </c>
      <c r="F1086" s="7" t="str">
        <f>IFERROR(VLOOKUP(G1086, data!A:B, 2, FALSE), "Tienda")</f>
        <v>SC MACROPLAZA INSURGENTES</v>
      </c>
      <c r="G1086" s="1">
        <v>2023</v>
      </c>
      <c r="H1086" s="2">
        <v>884</v>
      </c>
      <c r="I1086" s="3" t="s">
        <v>10</v>
      </c>
      <c r="J1086" s="4">
        <v>8</v>
      </c>
      <c r="K1086" s="8">
        <f>IFERROR(VLOOKUP(I1086, data!E:F, 2, FALSE), "Precio Unidad")</f>
        <v>151</v>
      </c>
      <c r="L1086" s="9">
        <f t="shared" si="17"/>
        <v>1208</v>
      </c>
    </row>
    <row r="1087" spans="1:12" ht="15" customHeight="1" x14ac:dyDescent="0.2">
      <c r="A1087" s="54">
        <v>46216</v>
      </c>
      <c r="F1087" s="7" t="str">
        <f>IFERROR(VLOOKUP(G1087, data!A:B, 2, FALSE), "Tienda")</f>
        <v>SC MACROPLAZA INSURGENTES</v>
      </c>
      <c r="G1087" s="1">
        <v>2023</v>
      </c>
      <c r="H1087" s="2">
        <v>884</v>
      </c>
      <c r="I1087" s="3" t="s">
        <v>12</v>
      </c>
      <c r="J1087" s="4">
        <v>10</v>
      </c>
      <c r="K1087" s="8">
        <f>IFERROR(VLOOKUP(I1087, data!E:F, 2, FALSE), "Precio Unidad")</f>
        <v>95</v>
      </c>
      <c r="L1087" s="9">
        <f t="shared" si="17"/>
        <v>950</v>
      </c>
    </row>
    <row r="1088" spans="1:12" ht="15" customHeight="1" x14ac:dyDescent="0.2">
      <c r="A1088" s="54">
        <v>46216</v>
      </c>
      <c r="F1088" s="7" t="str">
        <f>IFERROR(VLOOKUP(G1088, data!A:B, 2, FALSE), "Tienda")</f>
        <v>SC MACROPLAZA INSURGENTES</v>
      </c>
      <c r="G1088" s="1">
        <v>2023</v>
      </c>
      <c r="H1088" s="2">
        <v>884</v>
      </c>
      <c r="I1088" s="3" t="s">
        <v>13</v>
      </c>
      <c r="J1088" s="4">
        <v>16</v>
      </c>
      <c r="K1088" s="8">
        <f>IFERROR(VLOOKUP(I1088, data!E:F, 2, FALSE), "Precio Unidad")</f>
        <v>63</v>
      </c>
      <c r="L1088" s="9">
        <f t="shared" si="17"/>
        <v>1008</v>
      </c>
    </row>
    <row r="1089" spans="1:12" ht="15" customHeight="1" x14ac:dyDescent="0.2">
      <c r="A1089" s="54">
        <v>46216</v>
      </c>
      <c r="F1089" s="7" t="str">
        <f>IFERROR(VLOOKUP(G1089, data!A:B, 2, FALSE), "Tienda")</f>
        <v>SC ROSARITO</v>
      </c>
      <c r="G1089" s="1">
        <v>4187</v>
      </c>
      <c r="H1089" s="2">
        <v>885</v>
      </c>
      <c r="I1089" s="3" t="s">
        <v>6</v>
      </c>
      <c r="J1089" s="4">
        <v>4</v>
      </c>
      <c r="K1089" s="8">
        <f>IFERROR(VLOOKUP(I1089, data!E:F, 2, FALSE), "Precio Unidad")</f>
        <v>167</v>
      </c>
      <c r="L1089" s="9">
        <f t="shared" si="17"/>
        <v>668</v>
      </c>
    </row>
    <row r="1090" spans="1:12" ht="15" customHeight="1" x14ac:dyDescent="0.2">
      <c r="A1090" s="54">
        <v>46216</v>
      </c>
      <c r="F1090" s="7" t="str">
        <f>IFERROR(VLOOKUP(G1090, data!A:B, 2, FALSE), "Tienda")</f>
        <v>SC ROSARITO</v>
      </c>
      <c r="G1090" s="1">
        <v>4187</v>
      </c>
      <c r="H1090" s="2">
        <v>885</v>
      </c>
      <c r="I1090" s="3" t="s">
        <v>7</v>
      </c>
      <c r="J1090" s="4">
        <v>6</v>
      </c>
      <c r="K1090" s="8">
        <f>IFERROR(VLOOKUP(I1090, data!E:F, 2, FALSE), "Precio Unidad")</f>
        <v>113</v>
      </c>
      <c r="L1090" s="9">
        <f t="shared" si="17"/>
        <v>678</v>
      </c>
    </row>
    <row r="1091" spans="1:12" ht="15" customHeight="1" x14ac:dyDescent="0.2">
      <c r="A1091" s="54">
        <v>46216</v>
      </c>
      <c r="F1091" s="7" t="str">
        <f>IFERROR(VLOOKUP(G1091, data!A:B, 2, FALSE), "Tienda")</f>
        <v>SC ROSARITO</v>
      </c>
      <c r="G1091" s="1">
        <v>4187</v>
      </c>
      <c r="H1091" s="2">
        <v>885</v>
      </c>
      <c r="I1091" s="3" t="s">
        <v>10</v>
      </c>
      <c r="J1091" s="4">
        <v>8</v>
      </c>
      <c r="K1091" s="8">
        <f>IFERROR(VLOOKUP(I1091, data!E:F, 2, FALSE), "Precio Unidad")</f>
        <v>151</v>
      </c>
      <c r="L1091" s="9">
        <f t="shared" si="17"/>
        <v>1208</v>
      </c>
    </row>
    <row r="1092" spans="1:12" ht="15" customHeight="1" x14ac:dyDescent="0.2">
      <c r="A1092" s="54">
        <v>46216</v>
      </c>
      <c r="F1092" s="7" t="str">
        <f>IFERROR(VLOOKUP(G1092, data!A:B, 2, FALSE), "Tienda")</f>
        <v>SC ROSARITO</v>
      </c>
      <c r="G1092" s="1">
        <v>4187</v>
      </c>
      <c r="H1092" s="2">
        <v>885</v>
      </c>
      <c r="I1092" s="3" t="s">
        <v>12</v>
      </c>
      <c r="J1092" s="4">
        <v>10</v>
      </c>
      <c r="K1092" s="8">
        <f>IFERROR(VLOOKUP(I1092, data!E:F, 2, FALSE), "Precio Unidad")</f>
        <v>95</v>
      </c>
      <c r="L1092" s="9">
        <f t="shared" si="17"/>
        <v>950</v>
      </c>
    </row>
    <row r="1093" spans="1:12" ht="15" customHeight="1" x14ac:dyDescent="0.2">
      <c r="A1093" s="54">
        <v>46216</v>
      </c>
      <c r="F1093" s="7" t="str">
        <f>IFERROR(VLOOKUP(G1093, data!A:B, 2, FALSE), "Tienda")</f>
        <v>SC ROSARITO</v>
      </c>
      <c r="G1093" s="1">
        <v>4187</v>
      </c>
      <c r="H1093" s="2">
        <v>885</v>
      </c>
      <c r="I1093" s="3" t="s">
        <v>13</v>
      </c>
      <c r="J1093" s="4">
        <v>8</v>
      </c>
      <c r="K1093" s="8">
        <f>IFERROR(VLOOKUP(I1093, data!E:F, 2, FALSE), "Precio Unidad")</f>
        <v>63</v>
      </c>
      <c r="L1093" s="9">
        <f t="shared" ref="L1093:L1156" si="18">K1093*J1093</f>
        <v>504</v>
      </c>
    </row>
    <row r="1094" spans="1:12" ht="15" customHeight="1" x14ac:dyDescent="0.2">
      <c r="A1094" s="54">
        <v>46216</v>
      </c>
      <c r="F1094" s="7" t="str">
        <f>IFERROR(VLOOKUP(G1094, data!A:B, 2, FALSE), "Tienda")</f>
        <v>SC PLAYAS DE TIJUANA</v>
      </c>
      <c r="G1094" s="1">
        <v>1613</v>
      </c>
      <c r="H1094" s="2">
        <v>886</v>
      </c>
      <c r="I1094" s="3" t="s">
        <v>6</v>
      </c>
      <c r="J1094" s="4">
        <v>4</v>
      </c>
      <c r="K1094" s="8">
        <f>IFERROR(VLOOKUP(I1094, data!E:F, 2, FALSE), "Precio Unidad")</f>
        <v>167</v>
      </c>
      <c r="L1094" s="9">
        <f t="shared" si="18"/>
        <v>668</v>
      </c>
    </row>
    <row r="1095" spans="1:12" ht="15" customHeight="1" x14ac:dyDescent="0.2">
      <c r="A1095" s="54">
        <v>46216</v>
      </c>
      <c r="F1095" s="7" t="str">
        <f>IFERROR(VLOOKUP(G1095, data!A:B, 2, FALSE), "Tienda")</f>
        <v>SC PLAYAS DE TIJUANA</v>
      </c>
      <c r="G1095" s="1">
        <v>1613</v>
      </c>
      <c r="H1095" s="2">
        <v>886</v>
      </c>
      <c r="I1095" s="3" t="s">
        <v>7</v>
      </c>
      <c r="J1095" s="4">
        <v>6</v>
      </c>
      <c r="K1095" s="8">
        <f>IFERROR(VLOOKUP(I1095, data!E:F, 2, FALSE), "Precio Unidad")</f>
        <v>113</v>
      </c>
      <c r="L1095" s="9">
        <f t="shared" si="18"/>
        <v>678</v>
      </c>
    </row>
    <row r="1096" spans="1:12" ht="15" customHeight="1" x14ac:dyDescent="0.2">
      <c r="A1096" s="54">
        <v>46216</v>
      </c>
      <c r="F1096" s="7" t="str">
        <f>IFERROR(VLOOKUP(G1096, data!A:B, 2, FALSE), "Tienda")</f>
        <v>SC PLAYAS DE TIJUANA</v>
      </c>
      <c r="G1096" s="1">
        <v>1613</v>
      </c>
      <c r="H1096" s="2">
        <v>886</v>
      </c>
      <c r="I1096" s="3" t="s">
        <v>12</v>
      </c>
      <c r="J1096" s="4">
        <v>10</v>
      </c>
      <c r="K1096" s="8">
        <f>IFERROR(VLOOKUP(I1096, data!E:F, 2, FALSE), "Precio Unidad")</f>
        <v>95</v>
      </c>
      <c r="L1096" s="9">
        <f t="shared" si="18"/>
        <v>950</v>
      </c>
    </row>
    <row r="1097" spans="1:12" ht="15" customHeight="1" x14ac:dyDescent="0.2">
      <c r="A1097" s="54">
        <v>46216</v>
      </c>
      <c r="F1097" s="7" t="str">
        <f>IFERROR(VLOOKUP(G1097, data!A:B, 2, FALSE), "Tienda")</f>
        <v>SC PLAYAS DE TIJUANA</v>
      </c>
      <c r="G1097" s="1">
        <v>1613</v>
      </c>
      <c r="H1097" s="2">
        <v>886</v>
      </c>
      <c r="I1097" s="3" t="s">
        <v>13</v>
      </c>
      <c r="J1097" s="4">
        <v>8</v>
      </c>
      <c r="K1097" s="8">
        <f>IFERROR(VLOOKUP(I1097, data!E:F, 2, FALSE), "Precio Unidad")</f>
        <v>63</v>
      </c>
      <c r="L1097" s="9">
        <f t="shared" si="18"/>
        <v>504</v>
      </c>
    </row>
    <row r="1098" spans="1:12" ht="15" customHeight="1" x14ac:dyDescent="0.2">
      <c r="A1098" s="54">
        <v>46216</v>
      </c>
      <c r="F1098" s="7" t="str">
        <f>IFERROR(VLOOKUP(G1098, data!A:B, 2, FALSE), "Tienda")</f>
        <v>SC LOMAS DE SANTA FE</v>
      </c>
      <c r="G1098" s="1">
        <v>190</v>
      </c>
      <c r="H1098" s="2">
        <v>888</v>
      </c>
      <c r="I1098" s="3" t="s">
        <v>7</v>
      </c>
      <c r="J1098" s="4">
        <v>10</v>
      </c>
      <c r="K1098" s="8">
        <f>IFERROR(VLOOKUP(I1098, data!E:F, 2, FALSE), "Precio Unidad")</f>
        <v>113</v>
      </c>
      <c r="L1098" s="9">
        <f t="shared" si="18"/>
        <v>1130</v>
      </c>
    </row>
    <row r="1099" spans="1:12" ht="15" customHeight="1" x14ac:dyDescent="0.2">
      <c r="A1099" s="54">
        <v>46216</v>
      </c>
      <c r="F1099" s="7" t="str">
        <f>IFERROR(VLOOKUP(G1099, data!A:B, 2, FALSE), "Tienda")</f>
        <v>SC LOMAS DE SANTA FE</v>
      </c>
      <c r="G1099" s="1">
        <v>190</v>
      </c>
      <c r="H1099" s="2">
        <v>888</v>
      </c>
      <c r="I1099" s="3" t="s">
        <v>10</v>
      </c>
      <c r="J1099" s="4">
        <v>8</v>
      </c>
      <c r="K1099" s="8">
        <f>IFERROR(VLOOKUP(I1099, data!E:F, 2, FALSE), "Precio Unidad")</f>
        <v>151</v>
      </c>
      <c r="L1099" s="9">
        <f t="shared" si="18"/>
        <v>1208</v>
      </c>
    </row>
    <row r="1100" spans="1:12" ht="15" customHeight="1" x14ac:dyDescent="0.2">
      <c r="A1100" s="54">
        <v>46216</v>
      </c>
      <c r="F1100" s="7" t="str">
        <f>IFERROR(VLOOKUP(G1100, data!A:B, 2, FALSE), "Tienda")</f>
        <v>SC LOMAS DE SANTA FE</v>
      </c>
      <c r="G1100" s="1">
        <v>190</v>
      </c>
      <c r="H1100" s="2">
        <v>888</v>
      </c>
      <c r="I1100" s="3" t="s">
        <v>13</v>
      </c>
      <c r="J1100" s="4">
        <v>16</v>
      </c>
      <c r="K1100" s="8">
        <f>IFERROR(VLOOKUP(I1100, data!E:F, 2, FALSE), "Precio Unidad")</f>
        <v>63</v>
      </c>
      <c r="L1100" s="9">
        <f t="shared" si="18"/>
        <v>1008</v>
      </c>
    </row>
    <row r="1101" spans="1:12" ht="15" customHeight="1" x14ac:dyDescent="0.2">
      <c r="A1101" s="54">
        <v>46217</v>
      </c>
      <c r="F1101" s="7" t="str">
        <f>IFERROR(VLOOKUP(G1101, data!A:B, 2, FALSE), "Tienda")</f>
        <v>SC ENSENADA</v>
      </c>
      <c r="G1101" s="1">
        <v>3015</v>
      </c>
      <c r="H1101" s="2">
        <v>889</v>
      </c>
      <c r="I1101" s="3" t="s">
        <v>12</v>
      </c>
      <c r="J1101" s="4">
        <v>10</v>
      </c>
      <c r="K1101" s="8">
        <f>IFERROR(VLOOKUP(I1101, data!E:F, 2, FALSE), "Precio Unidad")</f>
        <v>95</v>
      </c>
      <c r="L1101" s="9">
        <f t="shared" si="18"/>
        <v>950</v>
      </c>
    </row>
    <row r="1102" spans="1:12" ht="15" customHeight="1" x14ac:dyDescent="0.2">
      <c r="A1102" s="54">
        <v>46217</v>
      </c>
      <c r="F1102" s="7" t="str">
        <f>IFERROR(VLOOKUP(G1102, data!A:B, 2, FALSE), "Tienda")</f>
        <v>SC ENSENADA</v>
      </c>
      <c r="G1102" s="1">
        <v>3015</v>
      </c>
      <c r="H1102" s="2">
        <v>889</v>
      </c>
      <c r="I1102" s="3" t="s">
        <v>13</v>
      </c>
      <c r="J1102" s="4">
        <v>8</v>
      </c>
      <c r="K1102" s="8">
        <f>IFERROR(VLOOKUP(I1102, data!E:F, 2, FALSE), "Precio Unidad")</f>
        <v>63</v>
      </c>
      <c r="L1102" s="9">
        <f t="shared" si="18"/>
        <v>504</v>
      </c>
    </row>
    <row r="1103" spans="1:12" ht="15" customHeight="1" x14ac:dyDescent="0.2">
      <c r="A1103" s="54">
        <v>46218</v>
      </c>
      <c r="F1103" s="7" t="str">
        <f>IFERROR(VLOOKUP(G1103, data!A:B, 2, FALSE), "Tienda")</f>
        <v>SC PLAZA SAN PEDRO</v>
      </c>
      <c r="G1103" s="1">
        <v>1140</v>
      </c>
      <c r="H1103" s="2">
        <v>890</v>
      </c>
      <c r="I1103" s="3" t="s">
        <v>6</v>
      </c>
      <c r="J1103" s="4">
        <v>16</v>
      </c>
      <c r="K1103" s="8">
        <f>IFERROR(VLOOKUP(I1103, data!E:F, 2, FALSE), "Precio Unidad")</f>
        <v>167</v>
      </c>
      <c r="L1103" s="9">
        <f t="shared" si="18"/>
        <v>2672</v>
      </c>
    </row>
    <row r="1104" spans="1:12" ht="15" customHeight="1" x14ac:dyDescent="0.2">
      <c r="A1104" s="54">
        <v>46218</v>
      </c>
      <c r="F1104" s="7" t="str">
        <f>IFERROR(VLOOKUP(G1104, data!A:B, 2, FALSE), "Tienda")</f>
        <v>SC PLAZA SAN PEDRO</v>
      </c>
      <c r="G1104" s="1">
        <v>1140</v>
      </c>
      <c r="H1104" s="2">
        <v>890</v>
      </c>
      <c r="I1104" s="3" t="s">
        <v>7</v>
      </c>
      <c r="J1104" s="4">
        <v>10</v>
      </c>
      <c r="K1104" s="8">
        <f>IFERROR(VLOOKUP(I1104, data!E:F, 2, FALSE), "Precio Unidad")</f>
        <v>113</v>
      </c>
      <c r="L1104" s="9">
        <f t="shared" si="18"/>
        <v>1130</v>
      </c>
    </row>
    <row r="1105" spans="1:12" ht="15" customHeight="1" x14ac:dyDescent="0.2">
      <c r="A1105" s="54">
        <v>46218</v>
      </c>
      <c r="F1105" s="7" t="str">
        <f>IFERROR(VLOOKUP(G1105, data!A:B, 2, FALSE), "Tienda")</f>
        <v>SC PLAZA SAN PEDRO</v>
      </c>
      <c r="G1105" s="1">
        <v>1140</v>
      </c>
      <c r="H1105" s="2">
        <v>890</v>
      </c>
      <c r="I1105" s="3" t="s">
        <v>10</v>
      </c>
      <c r="J1105" s="4">
        <v>24</v>
      </c>
      <c r="K1105" s="8">
        <f>IFERROR(VLOOKUP(I1105, data!E:F, 2, FALSE), "Precio Unidad")</f>
        <v>151</v>
      </c>
      <c r="L1105" s="9">
        <f t="shared" si="18"/>
        <v>3624</v>
      </c>
    </row>
    <row r="1106" spans="1:12" ht="15" customHeight="1" x14ac:dyDescent="0.2">
      <c r="A1106" s="54">
        <v>46218</v>
      </c>
      <c r="F1106" s="7" t="str">
        <f>IFERROR(VLOOKUP(G1106, data!A:B, 2, FALSE), "Tienda")</f>
        <v>SC PLAZA SAN PEDRO</v>
      </c>
      <c r="G1106" s="1">
        <v>1140</v>
      </c>
      <c r="H1106" s="2">
        <v>890</v>
      </c>
      <c r="I1106" s="3" t="s">
        <v>11</v>
      </c>
      <c r="J1106" s="4">
        <v>12</v>
      </c>
      <c r="K1106" s="8">
        <f>IFERROR(VLOOKUP(I1106, data!E:F, 2, FALSE), "Precio Unidad")</f>
        <v>177</v>
      </c>
      <c r="L1106" s="9">
        <f t="shared" si="18"/>
        <v>2124</v>
      </c>
    </row>
    <row r="1107" spans="1:12" ht="15" customHeight="1" x14ac:dyDescent="0.2">
      <c r="A1107" s="54">
        <v>46218</v>
      </c>
      <c r="F1107" s="7" t="str">
        <f>IFERROR(VLOOKUP(G1107, data!A:B, 2, FALSE), "Tienda")</f>
        <v>SC PLAZA SAN PEDRO</v>
      </c>
      <c r="G1107" s="1">
        <v>1140</v>
      </c>
      <c r="H1107" s="2">
        <v>890</v>
      </c>
      <c r="I1107" s="3" t="s">
        <v>12</v>
      </c>
      <c r="J1107" s="4">
        <v>10</v>
      </c>
      <c r="K1107" s="8">
        <f>IFERROR(VLOOKUP(I1107, data!E:F, 2, FALSE), "Precio Unidad")</f>
        <v>95</v>
      </c>
      <c r="L1107" s="9">
        <f t="shared" si="18"/>
        <v>950</v>
      </c>
    </row>
    <row r="1108" spans="1:12" ht="15" customHeight="1" x14ac:dyDescent="0.2">
      <c r="A1108" s="54">
        <v>46218</v>
      </c>
      <c r="F1108" s="7" t="str">
        <f>IFERROR(VLOOKUP(G1108, data!A:B, 2, FALSE), "Tienda")</f>
        <v>SC PLAZA SAN PEDRO</v>
      </c>
      <c r="G1108" s="1">
        <v>1140</v>
      </c>
      <c r="H1108" s="2">
        <v>890</v>
      </c>
      <c r="I1108" s="3" t="s">
        <v>13</v>
      </c>
      <c r="J1108" s="4">
        <v>16</v>
      </c>
      <c r="K1108" s="8">
        <f>IFERROR(VLOOKUP(I1108, data!E:F, 2, FALSE), "Precio Unidad")</f>
        <v>63</v>
      </c>
      <c r="L1108" s="9">
        <f t="shared" si="18"/>
        <v>1008</v>
      </c>
    </row>
    <row r="1109" spans="1:12" ht="15" customHeight="1" x14ac:dyDescent="0.2">
      <c r="A1109" s="54">
        <v>46218</v>
      </c>
      <c r="F1109" s="7" t="str">
        <f>IFERROR(VLOOKUP(G1109, data!A:B, 2, FALSE), "Tienda")</f>
        <v>SC PLAYAS DE TIJUANA</v>
      </c>
      <c r="G1109" s="1">
        <v>1613</v>
      </c>
      <c r="H1109" s="2">
        <v>891</v>
      </c>
      <c r="I1109" s="3" t="s">
        <v>6</v>
      </c>
      <c r="J1109" s="4">
        <v>4</v>
      </c>
      <c r="K1109" s="8">
        <f>IFERROR(VLOOKUP(I1109, data!E:F, 2, FALSE), "Precio Unidad")</f>
        <v>167</v>
      </c>
      <c r="L1109" s="9">
        <f t="shared" si="18"/>
        <v>668</v>
      </c>
    </row>
    <row r="1110" spans="1:12" ht="15" customHeight="1" x14ac:dyDescent="0.2">
      <c r="A1110" s="54">
        <v>46218</v>
      </c>
      <c r="F1110" s="7" t="str">
        <f>IFERROR(VLOOKUP(G1110, data!A:B, 2, FALSE), "Tienda")</f>
        <v>SC PLAYAS DE TIJUANA</v>
      </c>
      <c r="G1110" s="1">
        <v>1613</v>
      </c>
      <c r="H1110" s="2">
        <v>891</v>
      </c>
      <c r="I1110" s="3" t="s">
        <v>7</v>
      </c>
      <c r="J1110" s="4">
        <v>6</v>
      </c>
      <c r="K1110" s="8">
        <f>IFERROR(VLOOKUP(I1110, data!E:F, 2, FALSE), "Precio Unidad")</f>
        <v>113</v>
      </c>
      <c r="L1110" s="9">
        <f t="shared" si="18"/>
        <v>678</v>
      </c>
    </row>
    <row r="1111" spans="1:12" ht="15" customHeight="1" x14ac:dyDescent="0.2">
      <c r="A1111" s="54">
        <v>46218</v>
      </c>
      <c r="F1111" s="7" t="str">
        <f>IFERROR(VLOOKUP(G1111, data!A:B, 2, FALSE), "Tienda")</f>
        <v>SC PLAYAS DE TIJUANA</v>
      </c>
      <c r="G1111" s="1">
        <v>1613</v>
      </c>
      <c r="H1111" s="2">
        <v>891</v>
      </c>
      <c r="I1111" s="3" t="s">
        <v>10</v>
      </c>
      <c r="J1111" s="4">
        <v>8</v>
      </c>
      <c r="K1111" s="8">
        <f>IFERROR(VLOOKUP(I1111, data!E:F, 2, FALSE), "Precio Unidad")</f>
        <v>151</v>
      </c>
      <c r="L1111" s="9">
        <f t="shared" si="18"/>
        <v>1208</v>
      </c>
    </row>
    <row r="1112" spans="1:12" ht="15" customHeight="1" x14ac:dyDescent="0.2">
      <c r="A1112" s="54">
        <v>46218</v>
      </c>
      <c r="F1112" s="7" t="str">
        <f>IFERROR(VLOOKUP(G1112, data!A:B, 2, FALSE), "Tienda")</f>
        <v>SC PLAYAS DE TIJUANA</v>
      </c>
      <c r="G1112" s="1">
        <v>1613</v>
      </c>
      <c r="H1112" s="2">
        <v>891</v>
      </c>
      <c r="I1112" s="3" t="s">
        <v>11</v>
      </c>
      <c r="J1112" s="4">
        <v>6</v>
      </c>
      <c r="K1112" s="8">
        <f>IFERROR(VLOOKUP(I1112, data!E:F, 2, FALSE), "Precio Unidad")</f>
        <v>177</v>
      </c>
      <c r="L1112" s="9">
        <f t="shared" si="18"/>
        <v>1062</v>
      </c>
    </row>
    <row r="1113" spans="1:12" ht="15" customHeight="1" x14ac:dyDescent="0.2">
      <c r="A1113" s="54">
        <v>46218</v>
      </c>
      <c r="F1113" s="7" t="str">
        <f>IFERROR(VLOOKUP(G1113, data!A:B, 2, FALSE), "Tienda")</f>
        <v>SC PLAYAS DE TIJUANA</v>
      </c>
      <c r="G1113" s="1">
        <v>1613</v>
      </c>
      <c r="H1113" s="2">
        <v>891</v>
      </c>
      <c r="I1113" s="3" t="s">
        <v>12</v>
      </c>
      <c r="J1113" s="4">
        <v>10</v>
      </c>
      <c r="K1113" s="8">
        <f>IFERROR(VLOOKUP(I1113, data!E:F, 2, FALSE), "Precio Unidad")</f>
        <v>95</v>
      </c>
      <c r="L1113" s="9">
        <f t="shared" si="18"/>
        <v>950</v>
      </c>
    </row>
    <row r="1114" spans="1:12" ht="15" customHeight="1" x14ac:dyDescent="0.2">
      <c r="A1114" s="54">
        <v>46218</v>
      </c>
      <c r="F1114" s="7" t="str">
        <f>IFERROR(VLOOKUP(G1114, data!A:B, 2, FALSE), "Tienda")</f>
        <v>SC PLAYAS DE TIJUANA</v>
      </c>
      <c r="G1114" s="1">
        <v>1613</v>
      </c>
      <c r="H1114" s="2">
        <v>891</v>
      </c>
      <c r="I1114" s="3" t="s">
        <v>13</v>
      </c>
      <c r="J1114" s="4">
        <v>8</v>
      </c>
      <c r="K1114" s="8">
        <f>IFERROR(VLOOKUP(I1114, data!E:F, 2, FALSE), "Precio Unidad")</f>
        <v>63</v>
      </c>
      <c r="L1114" s="9">
        <f t="shared" si="18"/>
        <v>504</v>
      </c>
    </row>
    <row r="1115" spans="1:12" ht="15" customHeight="1" x14ac:dyDescent="0.2">
      <c r="A1115" s="54">
        <v>46218</v>
      </c>
      <c r="F1115" s="7" t="str">
        <f>IFERROR(VLOOKUP(G1115, data!A:B, 2, FALSE), "Tienda")</f>
        <v>SC PACIFICO</v>
      </c>
      <c r="G1115" s="1">
        <v>1616</v>
      </c>
      <c r="H1115" s="2">
        <v>892</v>
      </c>
      <c r="I1115" s="3" t="s">
        <v>10</v>
      </c>
      <c r="J1115" s="4">
        <v>8</v>
      </c>
      <c r="K1115" s="8">
        <f>IFERROR(VLOOKUP(I1115, data!E:F, 2, FALSE), "Precio Unidad")</f>
        <v>151</v>
      </c>
      <c r="L1115" s="9">
        <f t="shared" si="18"/>
        <v>1208</v>
      </c>
    </row>
    <row r="1116" spans="1:12" ht="15" customHeight="1" x14ac:dyDescent="0.2">
      <c r="A1116" s="54">
        <v>46218</v>
      </c>
      <c r="F1116" s="7" t="str">
        <f>IFERROR(VLOOKUP(G1116, data!A:B, 2, FALSE), "Tienda")</f>
        <v>SC PACIFICO</v>
      </c>
      <c r="G1116" s="1">
        <v>1616</v>
      </c>
      <c r="H1116" s="2">
        <v>892</v>
      </c>
      <c r="I1116" s="3" t="s">
        <v>13</v>
      </c>
      <c r="J1116" s="4">
        <v>16</v>
      </c>
      <c r="K1116" s="8">
        <f>IFERROR(VLOOKUP(I1116, data!E:F, 2, FALSE), "Precio Unidad")</f>
        <v>63</v>
      </c>
      <c r="L1116" s="9">
        <f t="shared" si="18"/>
        <v>1008</v>
      </c>
    </row>
    <row r="1117" spans="1:12" ht="15" customHeight="1" x14ac:dyDescent="0.2">
      <c r="A1117" s="54">
        <v>46218</v>
      </c>
      <c r="F1117" s="7" t="str">
        <f>IFERROR(VLOOKUP(G1117, data!A:B, 2, FALSE), "Tienda")</f>
        <v>SC MEXICALI NOVENA</v>
      </c>
      <c r="G1117" s="1">
        <v>1617</v>
      </c>
      <c r="H1117" s="2">
        <v>893</v>
      </c>
      <c r="I1117" s="3" t="s">
        <v>6</v>
      </c>
      <c r="J1117" s="4">
        <v>16</v>
      </c>
      <c r="K1117" s="8">
        <f>IFERROR(VLOOKUP(I1117, data!E:F, 2, FALSE), "Precio Unidad")</f>
        <v>167</v>
      </c>
      <c r="L1117" s="9">
        <f t="shared" si="18"/>
        <v>2672</v>
      </c>
    </row>
    <row r="1118" spans="1:12" ht="15" customHeight="1" x14ac:dyDescent="0.2">
      <c r="A1118" s="54">
        <v>46218</v>
      </c>
      <c r="F1118" s="7" t="str">
        <f>IFERROR(VLOOKUP(G1118, data!A:B, 2, FALSE), "Tienda")</f>
        <v>SC MEXICALI NOVENA</v>
      </c>
      <c r="G1118" s="1">
        <v>1617</v>
      </c>
      <c r="H1118" s="2">
        <v>893</v>
      </c>
      <c r="I1118" s="3" t="s">
        <v>7</v>
      </c>
      <c r="J1118" s="4">
        <v>10</v>
      </c>
      <c r="K1118" s="8">
        <f>IFERROR(VLOOKUP(I1118, data!E:F, 2, FALSE), "Precio Unidad")</f>
        <v>113</v>
      </c>
      <c r="L1118" s="9">
        <f t="shared" si="18"/>
        <v>1130</v>
      </c>
    </row>
    <row r="1119" spans="1:12" ht="15" customHeight="1" x14ac:dyDescent="0.2">
      <c r="A1119" s="54">
        <v>46218</v>
      </c>
      <c r="F1119" s="7" t="str">
        <f>IFERROR(VLOOKUP(G1119, data!A:B, 2, FALSE), "Tienda")</f>
        <v>SC MEXICALI NOVENA</v>
      </c>
      <c r="G1119" s="1">
        <v>1617</v>
      </c>
      <c r="H1119" s="2">
        <v>893</v>
      </c>
      <c r="I1119" s="3" t="s">
        <v>10</v>
      </c>
      <c r="J1119" s="4">
        <v>40</v>
      </c>
      <c r="K1119" s="8">
        <f>IFERROR(VLOOKUP(I1119, data!E:F, 2, FALSE), "Precio Unidad")</f>
        <v>151</v>
      </c>
      <c r="L1119" s="9">
        <f t="shared" si="18"/>
        <v>6040</v>
      </c>
    </row>
    <row r="1120" spans="1:12" ht="15" customHeight="1" x14ac:dyDescent="0.2">
      <c r="A1120" s="54">
        <v>46218</v>
      </c>
      <c r="F1120" s="7" t="str">
        <f>IFERROR(VLOOKUP(G1120, data!A:B, 2, FALSE), "Tienda")</f>
        <v>SC MEXICALI NOVENA</v>
      </c>
      <c r="G1120" s="1">
        <v>1617</v>
      </c>
      <c r="H1120" s="2">
        <v>893</v>
      </c>
      <c r="I1120" s="3" t="s">
        <v>11</v>
      </c>
      <c r="J1120" s="4">
        <v>18</v>
      </c>
      <c r="K1120" s="8">
        <f>IFERROR(VLOOKUP(I1120, data!E:F, 2, FALSE), "Precio Unidad")</f>
        <v>177</v>
      </c>
      <c r="L1120" s="9">
        <f t="shared" si="18"/>
        <v>3186</v>
      </c>
    </row>
    <row r="1121" spans="1:12" ht="15" customHeight="1" x14ac:dyDescent="0.2">
      <c r="A1121" s="54">
        <v>46218</v>
      </c>
      <c r="F1121" s="7" t="str">
        <f>IFERROR(VLOOKUP(G1121, data!A:B, 2, FALSE), "Tienda")</f>
        <v>SC MEXICALI NOVENA</v>
      </c>
      <c r="G1121" s="1">
        <v>1617</v>
      </c>
      <c r="H1121" s="2">
        <v>893</v>
      </c>
      <c r="I1121" s="3" t="s">
        <v>12</v>
      </c>
      <c r="J1121" s="4">
        <v>20</v>
      </c>
      <c r="K1121" s="8">
        <f>IFERROR(VLOOKUP(I1121, data!E:F, 2, FALSE), "Precio Unidad")</f>
        <v>95</v>
      </c>
      <c r="L1121" s="9">
        <f t="shared" si="18"/>
        <v>1900</v>
      </c>
    </row>
    <row r="1122" spans="1:12" ht="15" customHeight="1" x14ac:dyDescent="0.2">
      <c r="A1122" s="54">
        <v>46218</v>
      </c>
      <c r="F1122" s="7" t="str">
        <f>IFERROR(VLOOKUP(G1122, data!A:B, 2, FALSE), "Tienda")</f>
        <v>SC MEXICALI NOVENA</v>
      </c>
      <c r="G1122" s="1">
        <v>1617</v>
      </c>
      <c r="H1122" s="2">
        <v>893</v>
      </c>
      <c r="I1122" s="3" t="s">
        <v>13</v>
      </c>
      <c r="J1122" s="4">
        <v>32</v>
      </c>
      <c r="K1122" s="8">
        <f>IFERROR(VLOOKUP(I1122, data!E:F, 2, FALSE), "Precio Unidad")</f>
        <v>63</v>
      </c>
      <c r="L1122" s="9">
        <f t="shared" si="18"/>
        <v>2016</v>
      </c>
    </row>
    <row r="1123" spans="1:12" ht="15" customHeight="1" x14ac:dyDescent="0.2">
      <c r="A1123" s="54">
        <v>46218</v>
      </c>
      <c r="F1123" s="7" t="str">
        <f>IFERROR(VLOOKUP(G1123, data!A:B, 2, FALSE), "Tienda")</f>
        <v>SC LOMAS DE SANTA FE</v>
      </c>
      <c r="G1123" s="1">
        <v>190</v>
      </c>
      <c r="H1123" s="2">
        <v>894</v>
      </c>
      <c r="I1123" s="3" t="s">
        <v>7</v>
      </c>
      <c r="J1123" s="4">
        <v>10</v>
      </c>
      <c r="K1123" s="8">
        <f>IFERROR(VLOOKUP(I1123, data!E:F, 2, FALSE), "Precio Unidad")</f>
        <v>113</v>
      </c>
      <c r="L1123" s="9">
        <f t="shared" si="18"/>
        <v>1130</v>
      </c>
    </row>
    <row r="1124" spans="1:12" ht="15" customHeight="1" x14ac:dyDescent="0.2">
      <c r="A1124" s="54">
        <v>46218</v>
      </c>
      <c r="F1124" s="7" t="str">
        <f>IFERROR(VLOOKUP(G1124, data!A:B, 2, FALSE), "Tienda")</f>
        <v>SC LOMAS DE SANTA FE</v>
      </c>
      <c r="G1124" s="1">
        <v>190</v>
      </c>
      <c r="H1124" s="2">
        <v>894</v>
      </c>
      <c r="I1124" s="3" t="s">
        <v>10</v>
      </c>
      <c r="J1124" s="4">
        <v>8</v>
      </c>
      <c r="K1124" s="8">
        <f>IFERROR(VLOOKUP(I1124, data!E:F, 2, FALSE), "Precio Unidad")</f>
        <v>151</v>
      </c>
      <c r="L1124" s="9">
        <f t="shared" si="18"/>
        <v>1208</v>
      </c>
    </row>
    <row r="1125" spans="1:12" ht="15" customHeight="1" x14ac:dyDescent="0.2">
      <c r="A1125" s="54">
        <v>46218</v>
      </c>
      <c r="F1125" s="7" t="str">
        <f>IFERROR(VLOOKUP(G1125, data!A:B, 2, FALSE), "Tienda")</f>
        <v>SC LOMAS DE SANTA FE</v>
      </c>
      <c r="G1125" s="1">
        <v>190</v>
      </c>
      <c r="H1125" s="2">
        <v>894</v>
      </c>
      <c r="I1125" s="3" t="s">
        <v>12</v>
      </c>
      <c r="J1125" s="4">
        <v>10</v>
      </c>
      <c r="K1125" s="8">
        <f>IFERROR(VLOOKUP(I1125, data!E:F, 2, FALSE), "Precio Unidad")</f>
        <v>95</v>
      </c>
      <c r="L1125" s="9">
        <f t="shared" si="18"/>
        <v>950</v>
      </c>
    </row>
    <row r="1126" spans="1:12" ht="15" customHeight="1" x14ac:dyDescent="0.2">
      <c r="A1126" s="54">
        <v>46218</v>
      </c>
      <c r="F1126" s="7" t="str">
        <f>IFERROR(VLOOKUP(G1126, data!A:B, 2, FALSE), "Tienda")</f>
        <v>SC LOMAS DE SANTA FE</v>
      </c>
      <c r="G1126" s="1">
        <v>190</v>
      </c>
      <c r="H1126" s="2">
        <v>894</v>
      </c>
      <c r="I1126" s="3" t="s">
        <v>13</v>
      </c>
      <c r="J1126" s="4">
        <v>16</v>
      </c>
      <c r="K1126" s="8">
        <f>IFERROR(VLOOKUP(I1126, data!E:F, 2, FALSE), "Precio Unidad")</f>
        <v>63</v>
      </c>
      <c r="L1126" s="9">
        <f t="shared" si="18"/>
        <v>1008</v>
      </c>
    </row>
    <row r="1127" spans="1:12" ht="15" customHeight="1" x14ac:dyDescent="0.2">
      <c r="A1127" s="54">
        <v>46218</v>
      </c>
      <c r="F1127" s="7" t="str">
        <f>IFERROR(VLOOKUP(G1127, data!A:B, 2, FALSE), "Tienda")</f>
        <v>SC MEXICALI</v>
      </c>
      <c r="G1127" s="1">
        <v>2304</v>
      </c>
      <c r="H1127" s="2">
        <v>895</v>
      </c>
      <c r="I1127" s="3" t="s">
        <v>6</v>
      </c>
      <c r="J1127" s="4">
        <v>8</v>
      </c>
      <c r="K1127" s="8">
        <f>IFERROR(VLOOKUP(I1127, data!E:F, 2, FALSE), "Precio Unidad")</f>
        <v>167</v>
      </c>
      <c r="L1127" s="9">
        <f t="shared" si="18"/>
        <v>1336</v>
      </c>
    </row>
    <row r="1128" spans="1:12" ht="15" customHeight="1" x14ac:dyDescent="0.2">
      <c r="A1128" s="54">
        <v>46218</v>
      </c>
      <c r="F1128" s="7" t="str">
        <f>IFERROR(VLOOKUP(G1128, data!A:B, 2, FALSE), "Tienda")</f>
        <v>SC MEXICALI</v>
      </c>
      <c r="G1128" s="1">
        <v>2304</v>
      </c>
      <c r="H1128" s="2">
        <v>895</v>
      </c>
      <c r="I1128" s="3" t="s">
        <v>7</v>
      </c>
      <c r="J1128" s="4">
        <v>10</v>
      </c>
      <c r="K1128" s="8">
        <f>IFERROR(VLOOKUP(I1128, data!E:F, 2, FALSE), "Precio Unidad")</f>
        <v>113</v>
      </c>
      <c r="L1128" s="9">
        <f t="shared" si="18"/>
        <v>1130</v>
      </c>
    </row>
    <row r="1129" spans="1:12" ht="15" customHeight="1" x14ac:dyDescent="0.2">
      <c r="A1129" s="54">
        <v>46218</v>
      </c>
      <c r="F1129" s="7" t="str">
        <f>IFERROR(VLOOKUP(G1129, data!A:B, 2, FALSE), "Tienda")</f>
        <v>SC MEXICALI</v>
      </c>
      <c r="G1129" s="1">
        <v>2304</v>
      </c>
      <c r="H1129" s="2">
        <v>895</v>
      </c>
      <c r="I1129" s="3" t="s">
        <v>10</v>
      </c>
      <c r="J1129" s="4">
        <v>16</v>
      </c>
      <c r="K1129" s="8">
        <f>IFERROR(VLOOKUP(I1129, data!E:F, 2, FALSE), "Precio Unidad")</f>
        <v>151</v>
      </c>
      <c r="L1129" s="9">
        <f t="shared" si="18"/>
        <v>2416</v>
      </c>
    </row>
    <row r="1130" spans="1:12" ht="15" customHeight="1" x14ac:dyDescent="0.2">
      <c r="A1130" s="54">
        <v>46218</v>
      </c>
      <c r="F1130" s="7" t="str">
        <f>IFERROR(VLOOKUP(G1130, data!A:B, 2, FALSE), "Tienda")</f>
        <v>SC MEXICALI</v>
      </c>
      <c r="G1130" s="1">
        <v>2304</v>
      </c>
      <c r="H1130" s="2">
        <v>895</v>
      </c>
      <c r="I1130" s="3" t="s">
        <v>11</v>
      </c>
      <c r="J1130" s="4">
        <v>18</v>
      </c>
      <c r="K1130" s="8">
        <f>IFERROR(VLOOKUP(I1130, data!E:F, 2, FALSE), "Precio Unidad")</f>
        <v>177</v>
      </c>
      <c r="L1130" s="9">
        <f t="shared" si="18"/>
        <v>3186</v>
      </c>
    </row>
    <row r="1131" spans="1:12" ht="15" customHeight="1" x14ac:dyDescent="0.2">
      <c r="A1131" s="54">
        <v>46218</v>
      </c>
      <c r="F1131" s="7" t="str">
        <f>IFERROR(VLOOKUP(G1131, data!A:B, 2, FALSE), "Tienda")</f>
        <v>SC MEXICALI</v>
      </c>
      <c r="G1131" s="1">
        <v>2304</v>
      </c>
      <c r="H1131" s="2">
        <v>895</v>
      </c>
      <c r="I1131" s="3" t="s">
        <v>12</v>
      </c>
      <c r="J1131" s="4">
        <v>20</v>
      </c>
      <c r="K1131" s="8">
        <f>IFERROR(VLOOKUP(I1131, data!E:F, 2, FALSE), "Precio Unidad")</f>
        <v>95</v>
      </c>
      <c r="L1131" s="9">
        <f t="shared" si="18"/>
        <v>1900</v>
      </c>
    </row>
    <row r="1132" spans="1:12" ht="15" customHeight="1" x14ac:dyDescent="0.2">
      <c r="A1132" s="54">
        <v>46218</v>
      </c>
      <c r="F1132" s="7" t="str">
        <f>IFERROR(VLOOKUP(G1132, data!A:B, 2, FALSE), "Tienda")</f>
        <v>SC MEXICALI</v>
      </c>
      <c r="G1132" s="1">
        <v>2304</v>
      </c>
      <c r="H1132" s="2">
        <v>895</v>
      </c>
      <c r="I1132" s="3" t="s">
        <v>13</v>
      </c>
      <c r="J1132" s="4">
        <v>16</v>
      </c>
      <c r="K1132" s="8">
        <f>IFERROR(VLOOKUP(I1132, data!E:F, 2, FALSE), "Precio Unidad")</f>
        <v>63</v>
      </c>
      <c r="L1132" s="9">
        <f t="shared" si="18"/>
        <v>1008</v>
      </c>
    </row>
    <row r="1133" spans="1:12" ht="15" customHeight="1" x14ac:dyDescent="0.2">
      <c r="A1133" s="54">
        <v>46218</v>
      </c>
      <c r="F1133" s="7" t="str">
        <f>IFERROR(VLOOKUP(G1133, data!A:B, 2, FALSE), "Tienda")</f>
        <v>SC GALERIAS DEL VALLE</v>
      </c>
      <c r="G1133" s="1">
        <v>4026</v>
      </c>
      <c r="H1133" s="2">
        <v>896</v>
      </c>
      <c r="I1133" s="3" t="s">
        <v>6</v>
      </c>
      <c r="J1133" s="4">
        <v>4</v>
      </c>
      <c r="K1133" s="8">
        <f>IFERROR(VLOOKUP(I1133, data!E:F, 2, FALSE), "Precio Unidad")</f>
        <v>167</v>
      </c>
      <c r="L1133" s="9">
        <f t="shared" si="18"/>
        <v>668</v>
      </c>
    </row>
    <row r="1134" spans="1:12" ht="15" customHeight="1" x14ac:dyDescent="0.2">
      <c r="A1134" s="54">
        <v>46218</v>
      </c>
      <c r="F1134" s="7" t="str">
        <f>IFERROR(VLOOKUP(G1134, data!A:B, 2, FALSE), "Tienda")</f>
        <v>SC GALERIAS DEL VALLE</v>
      </c>
      <c r="G1134" s="1">
        <v>4026</v>
      </c>
      <c r="H1134" s="2">
        <v>896</v>
      </c>
      <c r="I1134" s="3" t="s">
        <v>7</v>
      </c>
      <c r="J1134" s="4">
        <v>6</v>
      </c>
      <c r="K1134" s="8">
        <f>IFERROR(VLOOKUP(I1134, data!E:F, 2, FALSE), "Precio Unidad")</f>
        <v>113</v>
      </c>
      <c r="L1134" s="9">
        <f t="shared" si="18"/>
        <v>678</v>
      </c>
    </row>
    <row r="1135" spans="1:12" ht="15" customHeight="1" x14ac:dyDescent="0.2">
      <c r="A1135" s="54">
        <v>46218</v>
      </c>
      <c r="F1135" s="7" t="str">
        <f>IFERROR(VLOOKUP(G1135, data!A:B, 2, FALSE), "Tienda")</f>
        <v>SC GALERIAS DEL VALLE</v>
      </c>
      <c r="G1135" s="1">
        <v>4026</v>
      </c>
      <c r="H1135" s="2">
        <v>896</v>
      </c>
      <c r="I1135" s="3" t="s">
        <v>10</v>
      </c>
      <c r="J1135" s="4">
        <v>16</v>
      </c>
      <c r="K1135" s="8">
        <f>IFERROR(VLOOKUP(I1135, data!E:F, 2, FALSE), "Precio Unidad")</f>
        <v>151</v>
      </c>
      <c r="L1135" s="9">
        <f t="shared" si="18"/>
        <v>2416</v>
      </c>
    </row>
    <row r="1136" spans="1:12" ht="15" customHeight="1" x14ac:dyDescent="0.2">
      <c r="A1136" s="54">
        <v>46218</v>
      </c>
      <c r="F1136" s="7" t="str">
        <f>IFERROR(VLOOKUP(G1136, data!A:B, 2, FALSE), "Tienda")</f>
        <v>SC GALERIAS DEL VALLE</v>
      </c>
      <c r="G1136" s="1">
        <v>4026</v>
      </c>
      <c r="H1136" s="2">
        <v>896</v>
      </c>
      <c r="I1136" s="3" t="s">
        <v>11</v>
      </c>
      <c r="J1136" s="4">
        <v>6</v>
      </c>
      <c r="K1136" s="8">
        <f>IFERROR(VLOOKUP(I1136, data!E:F, 2, FALSE), "Precio Unidad")</f>
        <v>177</v>
      </c>
      <c r="L1136" s="9">
        <f t="shared" si="18"/>
        <v>1062</v>
      </c>
    </row>
    <row r="1137" spans="1:12" ht="15" customHeight="1" x14ac:dyDescent="0.2">
      <c r="A1137" s="54">
        <v>46218</v>
      </c>
      <c r="F1137" s="7" t="str">
        <f>IFERROR(VLOOKUP(G1137, data!A:B, 2, FALSE), "Tienda")</f>
        <v>SC GALERIAS DEL VALLE</v>
      </c>
      <c r="G1137" s="1">
        <v>4026</v>
      </c>
      <c r="H1137" s="2">
        <v>896</v>
      </c>
      <c r="I1137" s="3" t="s">
        <v>12</v>
      </c>
      <c r="J1137" s="4">
        <v>10</v>
      </c>
      <c r="K1137" s="8">
        <f>IFERROR(VLOOKUP(I1137, data!E:F, 2, FALSE), "Precio Unidad")</f>
        <v>95</v>
      </c>
      <c r="L1137" s="9">
        <f t="shared" si="18"/>
        <v>950</v>
      </c>
    </row>
    <row r="1138" spans="1:12" ht="15" customHeight="1" x14ac:dyDescent="0.2">
      <c r="A1138" s="54">
        <v>46218</v>
      </c>
      <c r="F1138" s="7" t="str">
        <f>IFERROR(VLOOKUP(G1138, data!A:B, 2, FALSE), "Tienda")</f>
        <v>SC GALERIAS DEL VALLE</v>
      </c>
      <c r="G1138" s="1">
        <v>4026</v>
      </c>
      <c r="H1138" s="2">
        <v>896</v>
      </c>
      <c r="I1138" s="3" t="s">
        <v>13</v>
      </c>
      <c r="J1138" s="4">
        <v>16</v>
      </c>
      <c r="K1138" s="8">
        <f>IFERROR(VLOOKUP(I1138, data!E:F, 2, FALSE), "Precio Unidad")</f>
        <v>63</v>
      </c>
      <c r="L1138" s="9">
        <f t="shared" si="18"/>
        <v>1008</v>
      </c>
    </row>
    <row r="1139" spans="1:12" ht="15" customHeight="1" x14ac:dyDescent="0.2">
      <c r="A1139" s="54">
        <v>46218</v>
      </c>
      <c r="F1139" s="7" t="str">
        <f>IFERROR(VLOOKUP(G1139, data!A:B, 2, FALSE), "Tienda")</f>
        <v>SC ROSARITO</v>
      </c>
      <c r="G1139" s="1">
        <v>4187</v>
      </c>
      <c r="H1139" s="2">
        <v>897</v>
      </c>
      <c r="I1139" s="3" t="s">
        <v>6</v>
      </c>
      <c r="J1139" s="4">
        <v>4</v>
      </c>
      <c r="K1139" s="8">
        <f>IFERROR(VLOOKUP(I1139, data!E:F, 2, FALSE), "Precio Unidad")</f>
        <v>167</v>
      </c>
      <c r="L1139" s="9">
        <f t="shared" si="18"/>
        <v>668</v>
      </c>
    </row>
    <row r="1140" spans="1:12" ht="15" customHeight="1" x14ac:dyDescent="0.2">
      <c r="A1140" s="54">
        <v>46218</v>
      </c>
      <c r="F1140" s="7" t="str">
        <f>IFERROR(VLOOKUP(G1140, data!A:B, 2, FALSE), "Tienda")</f>
        <v>SC ROSARITO</v>
      </c>
      <c r="G1140" s="1">
        <v>4187</v>
      </c>
      <c r="H1140" s="2">
        <v>897</v>
      </c>
      <c r="I1140" s="3" t="s">
        <v>7</v>
      </c>
      <c r="J1140" s="4">
        <v>6</v>
      </c>
      <c r="K1140" s="8">
        <f>IFERROR(VLOOKUP(I1140, data!E:F, 2, FALSE), "Precio Unidad")</f>
        <v>113</v>
      </c>
      <c r="L1140" s="9">
        <f t="shared" si="18"/>
        <v>678</v>
      </c>
    </row>
    <row r="1141" spans="1:12" ht="15" customHeight="1" x14ac:dyDescent="0.2">
      <c r="A1141" s="54">
        <v>46218</v>
      </c>
      <c r="F1141" s="7" t="str">
        <f>IFERROR(VLOOKUP(G1141, data!A:B, 2, FALSE), "Tienda")</f>
        <v>SC ROSARITO</v>
      </c>
      <c r="G1141" s="1">
        <v>4187</v>
      </c>
      <c r="H1141" s="2">
        <v>897</v>
      </c>
      <c r="I1141" s="3" t="s">
        <v>10</v>
      </c>
      <c r="J1141" s="4">
        <v>8</v>
      </c>
      <c r="K1141" s="8">
        <f>IFERROR(VLOOKUP(I1141, data!E:F, 2, FALSE), "Precio Unidad")</f>
        <v>151</v>
      </c>
      <c r="L1141" s="9">
        <f t="shared" si="18"/>
        <v>1208</v>
      </c>
    </row>
    <row r="1142" spans="1:12" ht="15" customHeight="1" x14ac:dyDescent="0.2">
      <c r="A1142" s="54">
        <v>46218</v>
      </c>
      <c r="F1142" s="7" t="str">
        <f>IFERROR(VLOOKUP(G1142, data!A:B, 2, FALSE), "Tienda")</f>
        <v>SC ROSARITO</v>
      </c>
      <c r="G1142" s="1">
        <v>4187</v>
      </c>
      <c r="H1142" s="2">
        <v>897</v>
      </c>
      <c r="I1142" s="3" t="s">
        <v>12</v>
      </c>
      <c r="J1142" s="4">
        <v>10</v>
      </c>
      <c r="K1142" s="8">
        <f>IFERROR(VLOOKUP(I1142, data!E:F, 2, FALSE), "Precio Unidad")</f>
        <v>95</v>
      </c>
      <c r="L1142" s="9">
        <f t="shared" si="18"/>
        <v>950</v>
      </c>
    </row>
    <row r="1143" spans="1:12" ht="15" customHeight="1" x14ac:dyDescent="0.2">
      <c r="A1143" s="54">
        <v>46218</v>
      </c>
      <c r="F1143" s="7" t="str">
        <f>IFERROR(VLOOKUP(G1143, data!A:B, 2, FALSE), "Tienda")</f>
        <v>SC ROSARITO</v>
      </c>
      <c r="G1143" s="1">
        <v>4187</v>
      </c>
      <c r="H1143" s="2">
        <v>897</v>
      </c>
      <c r="I1143" s="3" t="s">
        <v>13</v>
      </c>
      <c r="J1143" s="4">
        <v>8</v>
      </c>
      <c r="K1143" s="8">
        <f>IFERROR(VLOOKUP(I1143, data!E:F, 2, FALSE), "Precio Unidad")</f>
        <v>63</v>
      </c>
      <c r="L1143" s="9">
        <f t="shared" si="18"/>
        <v>504</v>
      </c>
    </row>
    <row r="1144" spans="1:12" ht="15" customHeight="1" x14ac:dyDescent="0.2">
      <c r="A1144" s="54">
        <v>46218</v>
      </c>
      <c r="F1144" s="7" t="str">
        <f>IFERROR(VLOOKUP(G1144, data!A:B, 2, FALSE), "Tienda")</f>
        <v>SC NUEVO MEXICALI</v>
      </c>
      <c r="G1144" s="1">
        <v>5041</v>
      </c>
      <c r="H1144" s="2">
        <v>898</v>
      </c>
      <c r="I1144" s="3" t="s">
        <v>6</v>
      </c>
      <c r="J1144" s="4">
        <v>16</v>
      </c>
      <c r="K1144" s="8">
        <f>IFERROR(VLOOKUP(I1144, data!E:F, 2, FALSE), "Precio Unidad")</f>
        <v>167</v>
      </c>
      <c r="L1144" s="9">
        <f t="shared" si="18"/>
        <v>2672</v>
      </c>
    </row>
    <row r="1145" spans="1:12" ht="15" customHeight="1" x14ac:dyDescent="0.2">
      <c r="A1145" s="54">
        <v>46218</v>
      </c>
      <c r="F1145" s="7" t="str">
        <f>IFERROR(VLOOKUP(G1145, data!A:B, 2, FALSE), "Tienda")</f>
        <v>SC NUEVO MEXICALI</v>
      </c>
      <c r="G1145" s="1">
        <v>5041</v>
      </c>
      <c r="H1145" s="2">
        <v>898</v>
      </c>
      <c r="I1145" s="3" t="s">
        <v>7</v>
      </c>
      <c r="J1145" s="4">
        <v>10</v>
      </c>
      <c r="K1145" s="8">
        <f>IFERROR(VLOOKUP(I1145, data!E:F, 2, FALSE), "Precio Unidad")</f>
        <v>113</v>
      </c>
      <c r="L1145" s="9">
        <f t="shared" si="18"/>
        <v>1130</v>
      </c>
    </row>
    <row r="1146" spans="1:12" ht="15" customHeight="1" x14ac:dyDescent="0.2">
      <c r="A1146" s="54">
        <v>46218</v>
      </c>
      <c r="F1146" s="7" t="str">
        <f>IFERROR(VLOOKUP(G1146, data!A:B, 2, FALSE), "Tienda")</f>
        <v>SC NUEVO MEXICALI</v>
      </c>
      <c r="G1146" s="1">
        <v>5041</v>
      </c>
      <c r="H1146" s="2">
        <v>898</v>
      </c>
      <c r="I1146" s="3" t="s">
        <v>10</v>
      </c>
      <c r="J1146" s="4">
        <v>32</v>
      </c>
      <c r="K1146" s="8">
        <f>IFERROR(VLOOKUP(I1146, data!E:F, 2, FALSE), "Precio Unidad")</f>
        <v>151</v>
      </c>
      <c r="L1146" s="9">
        <f t="shared" si="18"/>
        <v>4832</v>
      </c>
    </row>
    <row r="1147" spans="1:12" ht="15" customHeight="1" x14ac:dyDescent="0.2">
      <c r="A1147" s="54">
        <v>46218</v>
      </c>
      <c r="F1147" s="7" t="str">
        <f>IFERROR(VLOOKUP(G1147, data!A:B, 2, FALSE), "Tienda")</f>
        <v>SC NUEVO MEXICALI</v>
      </c>
      <c r="G1147" s="1">
        <v>5041</v>
      </c>
      <c r="H1147" s="2">
        <v>898</v>
      </c>
      <c r="I1147" s="3" t="s">
        <v>11</v>
      </c>
      <c r="J1147" s="4">
        <v>12</v>
      </c>
      <c r="K1147" s="8">
        <f>IFERROR(VLOOKUP(I1147, data!E:F, 2, FALSE), "Precio Unidad")</f>
        <v>177</v>
      </c>
      <c r="L1147" s="9">
        <f t="shared" si="18"/>
        <v>2124</v>
      </c>
    </row>
    <row r="1148" spans="1:12" ht="15" customHeight="1" x14ac:dyDescent="0.2">
      <c r="A1148" s="54">
        <v>46218</v>
      </c>
      <c r="F1148" s="7" t="str">
        <f>IFERROR(VLOOKUP(G1148, data!A:B, 2, FALSE), "Tienda")</f>
        <v>SC NUEVO MEXICALI</v>
      </c>
      <c r="G1148" s="1">
        <v>5041</v>
      </c>
      <c r="H1148" s="2">
        <v>898</v>
      </c>
      <c r="I1148" s="3" t="s">
        <v>12</v>
      </c>
      <c r="J1148" s="4">
        <v>30</v>
      </c>
      <c r="K1148" s="8">
        <f>IFERROR(VLOOKUP(I1148, data!E:F, 2, FALSE), "Precio Unidad")</f>
        <v>95</v>
      </c>
      <c r="L1148" s="9">
        <f t="shared" si="18"/>
        <v>2850</v>
      </c>
    </row>
    <row r="1149" spans="1:12" ht="15" customHeight="1" x14ac:dyDescent="0.2">
      <c r="A1149" s="54">
        <v>46218</v>
      </c>
      <c r="F1149" s="7" t="str">
        <f>IFERROR(VLOOKUP(G1149, data!A:B, 2, FALSE), "Tienda")</f>
        <v>SC NUEVO MEXICALI</v>
      </c>
      <c r="G1149" s="1">
        <v>5041</v>
      </c>
      <c r="H1149" s="2">
        <v>898</v>
      </c>
      <c r="I1149" s="3" t="s">
        <v>13</v>
      </c>
      <c r="J1149" s="4">
        <v>24</v>
      </c>
      <c r="K1149" s="8">
        <f>IFERROR(VLOOKUP(I1149, data!E:F, 2, FALSE), "Precio Unidad")</f>
        <v>63</v>
      </c>
      <c r="L1149" s="9">
        <f t="shared" si="18"/>
        <v>1512</v>
      </c>
    </row>
    <row r="1150" spans="1:12" ht="15" customHeight="1" x14ac:dyDescent="0.2">
      <c r="A1150" s="54">
        <v>46219</v>
      </c>
      <c r="F1150" s="7" t="str">
        <f>IFERROR(VLOOKUP(G1150, data!A:B, 2, FALSE), "Tienda")</f>
        <v>SC TECATE GARITA</v>
      </c>
      <c r="G1150" s="1">
        <v>5295</v>
      </c>
      <c r="H1150" s="2">
        <v>899</v>
      </c>
      <c r="I1150" s="3" t="s">
        <v>6</v>
      </c>
      <c r="J1150" s="4">
        <v>4</v>
      </c>
      <c r="K1150" s="8">
        <f>IFERROR(VLOOKUP(I1150, data!E:F, 2, FALSE), "Precio Unidad")</f>
        <v>167</v>
      </c>
      <c r="L1150" s="9">
        <f t="shared" si="18"/>
        <v>668</v>
      </c>
    </row>
    <row r="1151" spans="1:12" ht="15" customHeight="1" x14ac:dyDescent="0.2">
      <c r="A1151" s="54">
        <v>46219</v>
      </c>
      <c r="F1151" s="7" t="str">
        <f>IFERROR(VLOOKUP(G1151, data!A:B, 2, FALSE), "Tienda")</f>
        <v>SC TECATE GARITA</v>
      </c>
      <c r="G1151" s="1">
        <v>5295</v>
      </c>
      <c r="H1151" s="2">
        <v>899</v>
      </c>
      <c r="I1151" s="3" t="s">
        <v>7</v>
      </c>
      <c r="J1151" s="4">
        <v>6</v>
      </c>
      <c r="K1151" s="8">
        <f>IFERROR(VLOOKUP(I1151, data!E:F, 2, FALSE), "Precio Unidad")</f>
        <v>113</v>
      </c>
      <c r="L1151" s="9">
        <f t="shared" si="18"/>
        <v>678</v>
      </c>
    </row>
    <row r="1152" spans="1:12" ht="15" customHeight="1" x14ac:dyDescent="0.2">
      <c r="A1152" s="54">
        <v>46219</v>
      </c>
      <c r="F1152" s="7" t="str">
        <f>IFERROR(VLOOKUP(G1152, data!A:B, 2, FALSE), "Tienda")</f>
        <v>SC TECATE GARITA</v>
      </c>
      <c r="G1152" s="1">
        <v>5295</v>
      </c>
      <c r="H1152" s="2">
        <v>899</v>
      </c>
      <c r="I1152" s="3" t="s">
        <v>10</v>
      </c>
      <c r="J1152" s="4">
        <v>8</v>
      </c>
      <c r="K1152" s="8">
        <f>IFERROR(VLOOKUP(I1152, data!E:F, 2, FALSE), "Precio Unidad")</f>
        <v>151</v>
      </c>
      <c r="L1152" s="9">
        <f t="shared" si="18"/>
        <v>1208</v>
      </c>
    </row>
    <row r="1153" spans="1:12" ht="15" customHeight="1" x14ac:dyDescent="0.2">
      <c r="A1153" s="54">
        <v>46219</v>
      </c>
      <c r="F1153" s="7" t="str">
        <f>IFERROR(VLOOKUP(G1153, data!A:B, 2, FALSE), "Tienda")</f>
        <v>SC TECATE GARITA</v>
      </c>
      <c r="G1153" s="1">
        <v>5295</v>
      </c>
      <c r="H1153" s="2">
        <v>899</v>
      </c>
      <c r="I1153" s="3" t="s">
        <v>12</v>
      </c>
      <c r="J1153" s="4">
        <v>20</v>
      </c>
      <c r="K1153" s="8">
        <f>IFERROR(VLOOKUP(I1153, data!E:F, 2, FALSE), "Precio Unidad")</f>
        <v>95</v>
      </c>
      <c r="L1153" s="9">
        <f t="shared" si="18"/>
        <v>1900</v>
      </c>
    </row>
    <row r="1154" spans="1:12" ht="15" customHeight="1" x14ac:dyDescent="0.2">
      <c r="A1154" s="54">
        <v>46219</v>
      </c>
      <c r="F1154" s="7" t="str">
        <f>IFERROR(VLOOKUP(G1154, data!A:B, 2, FALSE), "Tienda")</f>
        <v>SC TECATE GARITA</v>
      </c>
      <c r="G1154" s="1">
        <v>5295</v>
      </c>
      <c r="H1154" s="2">
        <v>899</v>
      </c>
      <c r="I1154" s="3" t="s">
        <v>13</v>
      </c>
      <c r="J1154" s="4">
        <v>16</v>
      </c>
      <c r="K1154" s="8">
        <f>IFERROR(VLOOKUP(I1154, data!E:F, 2, FALSE), "Precio Unidad")</f>
        <v>63</v>
      </c>
      <c r="L1154" s="9">
        <f t="shared" si="18"/>
        <v>1008</v>
      </c>
    </row>
    <row r="1155" spans="1:12" ht="15" customHeight="1" x14ac:dyDescent="0.2">
      <c r="A1155" s="54">
        <v>46219</v>
      </c>
      <c r="F1155" s="7" t="str">
        <f>IFERROR(VLOOKUP(G1155, data!A:B, 2, FALSE), "Tienda")</f>
        <v>SC TIJUANA 2000</v>
      </c>
      <c r="G1155" s="1">
        <v>4155</v>
      </c>
      <c r="H1155" s="2">
        <v>900</v>
      </c>
      <c r="I1155" s="3" t="s">
        <v>6</v>
      </c>
      <c r="J1155" s="4">
        <v>4</v>
      </c>
      <c r="K1155" s="8">
        <f>IFERROR(VLOOKUP(I1155, data!E:F, 2, FALSE), "Precio Unidad")</f>
        <v>167</v>
      </c>
      <c r="L1155" s="9">
        <f t="shared" si="18"/>
        <v>668</v>
      </c>
    </row>
    <row r="1156" spans="1:12" ht="15" customHeight="1" x14ac:dyDescent="0.2">
      <c r="A1156" s="54">
        <v>46219</v>
      </c>
      <c r="F1156" s="7" t="str">
        <f>IFERROR(VLOOKUP(G1156, data!A:B, 2, FALSE), "Tienda")</f>
        <v>SC TIJUANA 2000</v>
      </c>
      <c r="G1156" s="1">
        <v>4155</v>
      </c>
      <c r="H1156" s="2">
        <v>900</v>
      </c>
      <c r="I1156" s="3" t="s">
        <v>7</v>
      </c>
      <c r="J1156" s="4">
        <v>6</v>
      </c>
      <c r="K1156" s="8">
        <f>IFERROR(VLOOKUP(I1156, data!E:F, 2, FALSE), "Precio Unidad")</f>
        <v>113</v>
      </c>
      <c r="L1156" s="9">
        <f t="shared" si="18"/>
        <v>678</v>
      </c>
    </row>
    <row r="1157" spans="1:12" ht="15" customHeight="1" x14ac:dyDescent="0.2">
      <c r="A1157" s="54">
        <v>46219</v>
      </c>
      <c r="F1157" s="7" t="str">
        <f>IFERROR(VLOOKUP(G1157, data!A:B, 2, FALSE), "Tienda")</f>
        <v>SC TIJUANA 2000</v>
      </c>
      <c r="G1157" s="1">
        <v>4155</v>
      </c>
      <c r="H1157" s="2">
        <v>900</v>
      </c>
      <c r="I1157" s="3" t="s">
        <v>10</v>
      </c>
      <c r="J1157" s="4">
        <v>8</v>
      </c>
      <c r="K1157" s="8">
        <f>IFERROR(VLOOKUP(I1157, data!E:F, 2, FALSE), "Precio Unidad")</f>
        <v>151</v>
      </c>
      <c r="L1157" s="9">
        <f t="shared" ref="L1157:L1220" si="19">K1157*J1157</f>
        <v>1208</v>
      </c>
    </row>
    <row r="1158" spans="1:12" ht="15" customHeight="1" x14ac:dyDescent="0.2">
      <c r="A1158" s="54">
        <v>46219</v>
      </c>
      <c r="F1158" s="7" t="str">
        <f>IFERROR(VLOOKUP(G1158, data!A:B, 2, FALSE), "Tienda")</f>
        <v>SC TIJUANA 2000</v>
      </c>
      <c r="G1158" s="1">
        <v>4155</v>
      </c>
      <c r="H1158" s="2">
        <v>900</v>
      </c>
      <c r="I1158" s="3" t="s">
        <v>13</v>
      </c>
      <c r="J1158" s="4">
        <v>8</v>
      </c>
      <c r="K1158" s="8">
        <f>IFERROR(VLOOKUP(I1158, data!E:F, 2, FALSE), "Precio Unidad")</f>
        <v>63</v>
      </c>
      <c r="L1158" s="9">
        <f t="shared" si="19"/>
        <v>504</v>
      </c>
    </row>
    <row r="1159" spans="1:12" ht="15" customHeight="1" x14ac:dyDescent="0.2">
      <c r="A1159" s="54">
        <v>46219</v>
      </c>
      <c r="F1159" s="7" t="str">
        <f>IFERROR(VLOOKUP(G1159, data!A:B, 2, FALSE), "Tienda")</f>
        <v>SC TIJUANA HIPODROMO</v>
      </c>
      <c r="G1159" s="1">
        <v>4011</v>
      </c>
      <c r="H1159" s="2">
        <v>901</v>
      </c>
      <c r="I1159" s="3" t="s">
        <v>6</v>
      </c>
      <c r="J1159" s="4">
        <v>4</v>
      </c>
      <c r="K1159" s="8">
        <f>IFERROR(VLOOKUP(I1159, data!E:F, 2, FALSE), "Precio Unidad")</f>
        <v>167</v>
      </c>
      <c r="L1159" s="9">
        <f t="shared" si="19"/>
        <v>668</v>
      </c>
    </row>
    <row r="1160" spans="1:12" ht="15" customHeight="1" x14ac:dyDescent="0.2">
      <c r="A1160" s="54">
        <v>46219</v>
      </c>
      <c r="F1160" s="7" t="str">
        <f>IFERROR(VLOOKUP(G1160, data!A:B, 2, FALSE), "Tienda")</f>
        <v>SC TIJUANA HIPODROMO</v>
      </c>
      <c r="G1160" s="1">
        <v>4011</v>
      </c>
      <c r="H1160" s="2">
        <v>901</v>
      </c>
      <c r="I1160" s="3" t="s">
        <v>7</v>
      </c>
      <c r="J1160" s="4">
        <v>6</v>
      </c>
      <c r="K1160" s="8">
        <f>IFERROR(VLOOKUP(I1160, data!E:F, 2, FALSE), "Precio Unidad")</f>
        <v>113</v>
      </c>
      <c r="L1160" s="9">
        <f t="shared" si="19"/>
        <v>678</v>
      </c>
    </row>
    <row r="1161" spans="1:12" ht="15" customHeight="1" x14ac:dyDescent="0.2">
      <c r="A1161" s="54">
        <v>46219</v>
      </c>
      <c r="F1161" s="7" t="str">
        <f>IFERROR(VLOOKUP(G1161, data!A:B, 2, FALSE), "Tienda")</f>
        <v>SC TIJUANA HIPODROMO</v>
      </c>
      <c r="G1161" s="1">
        <v>4011</v>
      </c>
      <c r="H1161" s="2">
        <v>901</v>
      </c>
      <c r="I1161" s="3" t="s">
        <v>10</v>
      </c>
      <c r="J1161" s="4">
        <v>8</v>
      </c>
      <c r="K1161" s="8">
        <f>IFERROR(VLOOKUP(I1161, data!E:F, 2, FALSE), "Precio Unidad")</f>
        <v>151</v>
      </c>
      <c r="L1161" s="9">
        <f t="shared" si="19"/>
        <v>1208</v>
      </c>
    </row>
    <row r="1162" spans="1:12" ht="15" customHeight="1" x14ac:dyDescent="0.2">
      <c r="A1162" s="54">
        <v>46219</v>
      </c>
      <c r="F1162" s="7" t="str">
        <f>IFERROR(VLOOKUP(G1162, data!A:B, 2, FALSE), "Tienda")</f>
        <v>SC TIJUANA HIPODROMO</v>
      </c>
      <c r="G1162" s="1">
        <v>4011</v>
      </c>
      <c r="H1162" s="2">
        <v>901</v>
      </c>
      <c r="I1162" s="3" t="s">
        <v>12</v>
      </c>
      <c r="J1162" s="4">
        <v>10</v>
      </c>
      <c r="K1162" s="8">
        <f>IFERROR(VLOOKUP(I1162, data!E:F, 2, FALSE), "Precio Unidad")</f>
        <v>95</v>
      </c>
      <c r="L1162" s="9">
        <f t="shared" si="19"/>
        <v>950</v>
      </c>
    </row>
    <row r="1163" spans="1:12" ht="15" customHeight="1" x14ac:dyDescent="0.2">
      <c r="A1163" s="54">
        <v>46219</v>
      </c>
      <c r="F1163" s="7" t="str">
        <f>IFERROR(VLOOKUP(G1163, data!A:B, 2, FALSE), "Tienda")</f>
        <v>SC TIJUANA HIPODROMO</v>
      </c>
      <c r="G1163" s="1">
        <v>4011</v>
      </c>
      <c r="H1163" s="2">
        <v>901</v>
      </c>
      <c r="I1163" s="3" t="s">
        <v>13</v>
      </c>
      <c r="J1163" s="4">
        <v>24</v>
      </c>
      <c r="K1163" s="8">
        <f>IFERROR(VLOOKUP(I1163, data!E:F, 2, FALSE), "Precio Unidad")</f>
        <v>63</v>
      </c>
      <c r="L1163" s="9">
        <f t="shared" si="19"/>
        <v>1512</v>
      </c>
    </row>
    <row r="1164" spans="1:12" ht="15" customHeight="1" x14ac:dyDescent="0.2">
      <c r="A1164" s="54">
        <v>46219</v>
      </c>
      <c r="F1164" s="7" t="str">
        <f>IFERROR(VLOOKUP(G1164, data!A:B, 2, FALSE), "Tienda")</f>
        <v>SC DIAZ ORDAZ</v>
      </c>
      <c r="G1164" s="1">
        <v>3664</v>
      </c>
      <c r="H1164" s="2">
        <v>902</v>
      </c>
      <c r="I1164" s="3" t="s">
        <v>6</v>
      </c>
      <c r="J1164" s="4">
        <v>4</v>
      </c>
      <c r="K1164" s="8">
        <f>IFERROR(VLOOKUP(I1164, data!E:F, 2, FALSE), "Precio Unidad")</f>
        <v>167</v>
      </c>
      <c r="L1164" s="9">
        <f t="shared" si="19"/>
        <v>668</v>
      </c>
    </row>
    <row r="1165" spans="1:12" ht="15" customHeight="1" x14ac:dyDescent="0.2">
      <c r="A1165" s="54">
        <v>46219</v>
      </c>
      <c r="F1165" s="7" t="str">
        <f>IFERROR(VLOOKUP(G1165, data!A:B, 2, FALSE), "Tienda")</f>
        <v>SC DIAZ ORDAZ</v>
      </c>
      <c r="G1165" s="1">
        <v>3664</v>
      </c>
      <c r="H1165" s="2">
        <v>902</v>
      </c>
      <c r="I1165" s="3" t="s">
        <v>7</v>
      </c>
      <c r="J1165" s="4">
        <v>6</v>
      </c>
      <c r="K1165" s="8">
        <f>IFERROR(VLOOKUP(I1165, data!E:F, 2, FALSE), "Precio Unidad")</f>
        <v>113</v>
      </c>
      <c r="L1165" s="9">
        <f t="shared" si="19"/>
        <v>678</v>
      </c>
    </row>
    <row r="1166" spans="1:12" ht="15" customHeight="1" x14ac:dyDescent="0.2">
      <c r="A1166" s="54">
        <v>46219</v>
      </c>
      <c r="F1166" s="7" t="str">
        <f>IFERROR(VLOOKUP(G1166, data!A:B, 2, FALSE), "Tienda")</f>
        <v>SC DIAZ ORDAZ</v>
      </c>
      <c r="G1166" s="1">
        <v>3664</v>
      </c>
      <c r="H1166" s="2">
        <v>902</v>
      </c>
      <c r="I1166" s="3" t="s">
        <v>10</v>
      </c>
      <c r="J1166" s="4">
        <v>8</v>
      </c>
      <c r="K1166" s="8">
        <f>IFERROR(VLOOKUP(I1166, data!E:F, 2, FALSE), "Precio Unidad")</f>
        <v>151</v>
      </c>
      <c r="L1166" s="9">
        <f t="shared" si="19"/>
        <v>1208</v>
      </c>
    </row>
    <row r="1167" spans="1:12" ht="15" customHeight="1" x14ac:dyDescent="0.2">
      <c r="A1167" s="54">
        <v>46219</v>
      </c>
      <c r="F1167" s="7" t="str">
        <f>IFERROR(VLOOKUP(G1167, data!A:B, 2, FALSE), "Tienda")</f>
        <v>SC DIAZ ORDAZ</v>
      </c>
      <c r="G1167" s="1">
        <v>3664</v>
      </c>
      <c r="H1167" s="2">
        <v>902</v>
      </c>
      <c r="I1167" s="3" t="s">
        <v>12</v>
      </c>
      <c r="J1167" s="4">
        <v>10</v>
      </c>
      <c r="K1167" s="8">
        <f>IFERROR(VLOOKUP(I1167, data!E:F, 2, FALSE), "Precio Unidad")</f>
        <v>95</v>
      </c>
      <c r="L1167" s="9">
        <f t="shared" si="19"/>
        <v>950</v>
      </c>
    </row>
    <row r="1168" spans="1:12" ht="15" customHeight="1" x14ac:dyDescent="0.2">
      <c r="A1168" s="54">
        <v>46219</v>
      </c>
      <c r="F1168" s="7" t="str">
        <f>IFERROR(VLOOKUP(G1168, data!A:B, 2, FALSE), "Tienda")</f>
        <v>SC DIAZ ORDAZ</v>
      </c>
      <c r="G1168" s="1">
        <v>3664</v>
      </c>
      <c r="H1168" s="2">
        <v>902</v>
      </c>
      <c r="I1168" s="3" t="s">
        <v>13</v>
      </c>
      <c r="J1168" s="4">
        <v>16</v>
      </c>
      <c r="K1168" s="8">
        <f>IFERROR(VLOOKUP(I1168, data!E:F, 2, FALSE), "Precio Unidad")</f>
        <v>63</v>
      </c>
      <c r="L1168" s="9">
        <f t="shared" si="19"/>
        <v>1008</v>
      </c>
    </row>
    <row r="1169" spans="1:12" ht="15" customHeight="1" x14ac:dyDescent="0.2">
      <c r="A1169" s="54">
        <v>46219</v>
      </c>
      <c r="F1169" s="7" t="str">
        <f>IFERROR(VLOOKUP(G1169, data!A:B, 2, FALSE), "Tienda")</f>
        <v>SC ENSENADA CENTRO</v>
      </c>
      <c r="G1169" s="1">
        <v>2947</v>
      </c>
      <c r="H1169" s="2">
        <v>903</v>
      </c>
      <c r="I1169" s="3" t="s">
        <v>7</v>
      </c>
      <c r="J1169" s="4">
        <v>10</v>
      </c>
      <c r="K1169" s="8">
        <f>IFERROR(VLOOKUP(I1169, data!E:F, 2, FALSE), "Precio Unidad")</f>
        <v>113</v>
      </c>
      <c r="L1169" s="9">
        <f t="shared" si="19"/>
        <v>1130</v>
      </c>
    </row>
    <row r="1170" spans="1:12" ht="15" customHeight="1" x14ac:dyDescent="0.2">
      <c r="A1170" s="54">
        <v>46219</v>
      </c>
      <c r="F1170" s="7" t="str">
        <f>IFERROR(VLOOKUP(G1170, data!A:B, 2, FALSE), "Tienda")</f>
        <v>SC ENSENADA CENTRO</v>
      </c>
      <c r="G1170" s="1">
        <v>2947</v>
      </c>
      <c r="H1170" s="2">
        <v>903</v>
      </c>
      <c r="I1170" s="3" t="s">
        <v>10</v>
      </c>
      <c r="J1170" s="4">
        <v>8</v>
      </c>
      <c r="K1170" s="8">
        <f>IFERROR(VLOOKUP(I1170, data!E:F, 2, FALSE), "Precio Unidad")</f>
        <v>151</v>
      </c>
      <c r="L1170" s="9">
        <f t="shared" si="19"/>
        <v>1208</v>
      </c>
    </row>
    <row r="1171" spans="1:12" ht="15" customHeight="1" x14ac:dyDescent="0.2">
      <c r="A1171" s="54">
        <v>46219</v>
      </c>
      <c r="F1171" s="7" t="str">
        <f>IFERROR(VLOOKUP(G1171, data!A:B, 2, FALSE), "Tienda")</f>
        <v>SC ENSENADA CENTRO</v>
      </c>
      <c r="G1171" s="1">
        <v>2947</v>
      </c>
      <c r="H1171" s="2">
        <v>903</v>
      </c>
      <c r="I1171" s="3" t="s">
        <v>13</v>
      </c>
      <c r="J1171" s="4">
        <v>16</v>
      </c>
      <c r="K1171" s="8">
        <f>IFERROR(VLOOKUP(I1171, data!E:F, 2, FALSE), "Precio Unidad")</f>
        <v>63</v>
      </c>
      <c r="L1171" s="9">
        <f t="shared" si="19"/>
        <v>1008</v>
      </c>
    </row>
    <row r="1172" spans="1:12" ht="15" customHeight="1" x14ac:dyDescent="0.2">
      <c r="A1172" s="54">
        <v>46219</v>
      </c>
      <c r="F1172" s="7" t="str">
        <f>IFERROR(VLOOKUP(G1172, data!A:B, 2, FALSE), "Tienda")</f>
        <v>SC MACROPLAZA INSURGENTES</v>
      </c>
      <c r="G1172" s="1">
        <v>2023</v>
      </c>
      <c r="H1172" s="2">
        <v>904</v>
      </c>
      <c r="I1172" s="3" t="s">
        <v>7</v>
      </c>
      <c r="J1172" s="4">
        <v>10</v>
      </c>
      <c r="K1172" s="8">
        <f>IFERROR(VLOOKUP(I1172, data!E:F, 2, FALSE), "Precio Unidad")</f>
        <v>113</v>
      </c>
      <c r="L1172" s="9">
        <f t="shared" si="19"/>
        <v>1130</v>
      </c>
    </row>
    <row r="1173" spans="1:12" ht="15" customHeight="1" x14ac:dyDescent="0.2">
      <c r="A1173" s="54">
        <v>46219</v>
      </c>
      <c r="F1173" s="7" t="str">
        <f>IFERROR(VLOOKUP(G1173, data!A:B, 2, FALSE), "Tienda")</f>
        <v>SC MACROPLAZA INSURGENTES</v>
      </c>
      <c r="G1173" s="1">
        <v>2023</v>
      </c>
      <c r="H1173" s="2">
        <v>904</v>
      </c>
      <c r="I1173" s="3" t="s">
        <v>10</v>
      </c>
      <c r="J1173" s="4">
        <v>8</v>
      </c>
      <c r="K1173" s="8">
        <f>IFERROR(VLOOKUP(I1173, data!E:F, 2, FALSE), "Precio Unidad")</f>
        <v>151</v>
      </c>
      <c r="L1173" s="9">
        <f t="shared" si="19"/>
        <v>1208</v>
      </c>
    </row>
    <row r="1174" spans="1:12" ht="15" customHeight="1" x14ac:dyDescent="0.2">
      <c r="A1174" s="54">
        <v>46219</v>
      </c>
      <c r="F1174" s="7" t="str">
        <f>IFERROR(VLOOKUP(G1174, data!A:B, 2, FALSE), "Tienda")</f>
        <v>SC MACROPLAZA INSURGENTES</v>
      </c>
      <c r="G1174" s="1">
        <v>2023</v>
      </c>
      <c r="H1174" s="2">
        <v>904</v>
      </c>
      <c r="I1174" s="3" t="s">
        <v>12</v>
      </c>
      <c r="J1174" s="4">
        <v>10</v>
      </c>
      <c r="K1174" s="8">
        <f>IFERROR(VLOOKUP(I1174, data!E:F, 2, FALSE), "Precio Unidad")</f>
        <v>95</v>
      </c>
      <c r="L1174" s="9">
        <f t="shared" si="19"/>
        <v>950</v>
      </c>
    </row>
    <row r="1175" spans="1:12" ht="15" customHeight="1" x14ac:dyDescent="0.2">
      <c r="A1175" s="54">
        <v>46219</v>
      </c>
      <c r="F1175" s="7" t="str">
        <f>IFERROR(VLOOKUP(G1175, data!A:B, 2, FALSE), "Tienda")</f>
        <v>SC MACROPLAZA INSURGENTES</v>
      </c>
      <c r="G1175" s="1">
        <v>2023</v>
      </c>
      <c r="H1175" s="2">
        <v>904</v>
      </c>
      <c r="I1175" s="3" t="s">
        <v>13</v>
      </c>
      <c r="J1175" s="4">
        <v>16</v>
      </c>
      <c r="K1175" s="8">
        <f>IFERROR(VLOOKUP(I1175, data!E:F, 2, FALSE), "Precio Unidad")</f>
        <v>63</v>
      </c>
      <c r="L1175" s="9">
        <f t="shared" si="19"/>
        <v>1008</v>
      </c>
    </row>
    <row r="1176" spans="1:12" ht="15" customHeight="1" x14ac:dyDescent="0.2">
      <c r="A1176" s="54">
        <v>46220</v>
      </c>
      <c r="F1176" s="7" t="str">
        <f>IFERROR(VLOOKUP(G1176, data!A:B, 2, FALSE), "Tienda")</f>
        <v>SC ENSENADA</v>
      </c>
      <c r="G1176" s="1">
        <v>3015</v>
      </c>
      <c r="H1176" s="2">
        <v>905</v>
      </c>
      <c r="I1176" s="3" t="s">
        <v>6</v>
      </c>
      <c r="J1176" s="4">
        <v>4</v>
      </c>
      <c r="K1176" s="8">
        <f>IFERROR(VLOOKUP(I1176, data!E:F, 2, FALSE), "Precio Unidad")</f>
        <v>167</v>
      </c>
      <c r="L1176" s="9">
        <f t="shared" si="19"/>
        <v>668</v>
      </c>
    </row>
    <row r="1177" spans="1:12" ht="15" customHeight="1" x14ac:dyDescent="0.2">
      <c r="A1177" s="54">
        <v>46220</v>
      </c>
      <c r="F1177" s="7" t="str">
        <f>IFERROR(VLOOKUP(G1177, data!A:B, 2, FALSE), "Tienda")</f>
        <v>SC ENSENADA</v>
      </c>
      <c r="G1177" s="1">
        <v>3015</v>
      </c>
      <c r="H1177" s="2">
        <v>905</v>
      </c>
      <c r="I1177" s="3" t="s">
        <v>7</v>
      </c>
      <c r="J1177" s="4">
        <v>6</v>
      </c>
      <c r="K1177" s="8">
        <f>IFERROR(VLOOKUP(I1177, data!E:F, 2, FALSE), "Precio Unidad")</f>
        <v>113</v>
      </c>
      <c r="L1177" s="9">
        <f t="shared" si="19"/>
        <v>678</v>
      </c>
    </row>
    <row r="1178" spans="1:12" ht="15" customHeight="1" x14ac:dyDescent="0.2">
      <c r="A1178" s="54">
        <v>46220</v>
      </c>
      <c r="F1178" s="7" t="str">
        <f>IFERROR(VLOOKUP(G1178, data!A:B, 2, FALSE), "Tienda")</f>
        <v>SC ENSENADA</v>
      </c>
      <c r="G1178" s="1">
        <v>3015</v>
      </c>
      <c r="H1178" s="2">
        <v>905</v>
      </c>
      <c r="I1178" s="3" t="s">
        <v>10</v>
      </c>
      <c r="J1178" s="4">
        <v>8</v>
      </c>
      <c r="K1178" s="8">
        <f>IFERROR(VLOOKUP(I1178, data!E:F, 2, FALSE), "Precio Unidad")</f>
        <v>151</v>
      </c>
      <c r="L1178" s="9">
        <f t="shared" si="19"/>
        <v>1208</v>
      </c>
    </row>
    <row r="1179" spans="1:12" ht="15" customHeight="1" x14ac:dyDescent="0.2">
      <c r="A1179" s="54">
        <v>46220</v>
      </c>
      <c r="F1179" s="7" t="str">
        <f>IFERROR(VLOOKUP(G1179, data!A:B, 2, FALSE), "Tienda")</f>
        <v>SC ENSENADA</v>
      </c>
      <c r="G1179" s="1">
        <v>3015</v>
      </c>
      <c r="H1179" s="2">
        <v>905</v>
      </c>
      <c r="I1179" s="3" t="s">
        <v>13</v>
      </c>
      <c r="J1179" s="4">
        <v>16</v>
      </c>
      <c r="K1179" s="8">
        <f>IFERROR(VLOOKUP(I1179, data!E:F, 2, FALSE), "Precio Unidad")</f>
        <v>63</v>
      </c>
      <c r="L1179" s="9">
        <f t="shared" si="19"/>
        <v>1008</v>
      </c>
    </row>
    <row r="1180" spans="1:12" ht="15" customHeight="1" x14ac:dyDescent="0.2">
      <c r="A1180" s="54">
        <v>46221</v>
      </c>
      <c r="F1180" s="7" t="str">
        <f>IFERROR(VLOOKUP(G1180, data!A:B, 2, FALSE), "Tienda")</f>
        <v>SC NUEVO MEXICALI</v>
      </c>
      <c r="G1180" s="1">
        <v>5041</v>
      </c>
      <c r="H1180" s="2">
        <v>906</v>
      </c>
      <c r="I1180" s="3" t="s">
        <v>6</v>
      </c>
      <c r="J1180" s="4">
        <v>8</v>
      </c>
      <c r="K1180" s="8">
        <f>IFERROR(VLOOKUP(I1180, data!E:F, 2, FALSE), "Precio Unidad")</f>
        <v>167</v>
      </c>
      <c r="L1180" s="9">
        <f t="shared" si="19"/>
        <v>1336</v>
      </c>
    </row>
    <row r="1181" spans="1:12" ht="15" customHeight="1" x14ac:dyDescent="0.2">
      <c r="A1181" s="54">
        <v>46221</v>
      </c>
      <c r="F1181" s="7" t="str">
        <f>IFERROR(VLOOKUP(G1181, data!A:B, 2, FALSE), "Tienda")</f>
        <v>SC NUEVO MEXICALI</v>
      </c>
      <c r="G1181" s="1">
        <v>5041</v>
      </c>
      <c r="H1181" s="2">
        <v>906</v>
      </c>
      <c r="I1181" s="3" t="s">
        <v>7</v>
      </c>
      <c r="J1181" s="4">
        <v>10</v>
      </c>
      <c r="K1181" s="8">
        <f>IFERROR(VLOOKUP(I1181, data!E:F, 2, FALSE), "Precio Unidad")</f>
        <v>113</v>
      </c>
      <c r="L1181" s="9">
        <f t="shared" si="19"/>
        <v>1130</v>
      </c>
    </row>
    <row r="1182" spans="1:12" ht="15" customHeight="1" x14ac:dyDescent="0.2">
      <c r="A1182" s="54">
        <v>46221</v>
      </c>
      <c r="F1182" s="7" t="str">
        <f>IFERROR(VLOOKUP(G1182, data!A:B, 2, FALSE), "Tienda")</f>
        <v>SC NUEVO MEXICALI</v>
      </c>
      <c r="G1182" s="1">
        <v>5041</v>
      </c>
      <c r="H1182" s="2">
        <v>906</v>
      </c>
      <c r="I1182" s="3" t="s">
        <v>10</v>
      </c>
      <c r="J1182" s="4">
        <v>16</v>
      </c>
      <c r="K1182" s="8">
        <f>IFERROR(VLOOKUP(I1182, data!E:F, 2, FALSE), "Precio Unidad")</f>
        <v>151</v>
      </c>
      <c r="L1182" s="9">
        <f t="shared" si="19"/>
        <v>2416</v>
      </c>
    </row>
    <row r="1183" spans="1:12" ht="15" customHeight="1" x14ac:dyDescent="0.2">
      <c r="A1183" s="54">
        <v>46221</v>
      </c>
      <c r="F1183" s="7" t="str">
        <f>IFERROR(VLOOKUP(G1183, data!A:B, 2, FALSE), "Tienda")</f>
        <v>SC NUEVO MEXICALI</v>
      </c>
      <c r="G1183" s="1">
        <v>5041</v>
      </c>
      <c r="H1183" s="2">
        <v>906</v>
      </c>
      <c r="I1183" s="3" t="s">
        <v>11</v>
      </c>
      <c r="J1183" s="4">
        <v>6</v>
      </c>
      <c r="K1183" s="8">
        <f>IFERROR(VLOOKUP(I1183, data!E:F, 2, FALSE), "Precio Unidad")</f>
        <v>177</v>
      </c>
      <c r="L1183" s="9">
        <f t="shared" si="19"/>
        <v>1062</v>
      </c>
    </row>
    <row r="1184" spans="1:12" ht="15" customHeight="1" x14ac:dyDescent="0.2">
      <c r="A1184" s="54">
        <v>46221</v>
      </c>
      <c r="F1184" s="7" t="str">
        <f>IFERROR(VLOOKUP(G1184, data!A:B, 2, FALSE), "Tienda")</f>
        <v>SC NUEVO MEXICALI</v>
      </c>
      <c r="G1184" s="1">
        <v>5041</v>
      </c>
      <c r="H1184" s="2">
        <v>906</v>
      </c>
      <c r="I1184" s="3" t="s">
        <v>12</v>
      </c>
      <c r="J1184" s="4">
        <v>20</v>
      </c>
      <c r="K1184" s="8">
        <f>IFERROR(VLOOKUP(I1184, data!E:F, 2, FALSE), "Precio Unidad")</f>
        <v>95</v>
      </c>
      <c r="L1184" s="9">
        <f t="shared" si="19"/>
        <v>1900</v>
      </c>
    </row>
    <row r="1185" spans="1:12" ht="15" customHeight="1" x14ac:dyDescent="0.2">
      <c r="A1185" s="54">
        <v>46221</v>
      </c>
      <c r="F1185" s="7" t="str">
        <f>IFERROR(VLOOKUP(G1185, data!A:B, 2, FALSE), "Tienda")</f>
        <v>SC NUEVO MEXICALI</v>
      </c>
      <c r="G1185" s="1">
        <v>5041</v>
      </c>
      <c r="H1185" s="2">
        <v>906</v>
      </c>
      <c r="I1185" s="3" t="s">
        <v>13</v>
      </c>
      <c r="J1185" s="4">
        <v>32</v>
      </c>
      <c r="K1185" s="8">
        <f>IFERROR(VLOOKUP(I1185, data!E:F, 2, FALSE), "Precio Unidad")</f>
        <v>63</v>
      </c>
      <c r="L1185" s="9">
        <f t="shared" si="19"/>
        <v>2016</v>
      </c>
    </row>
    <row r="1186" spans="1:12" ht="15" customHeight="1" x14ac:dyDescent="0.2">
      <c r="A1186" s="54">
        <v>46221</v>
      </c>
      <c r="F1186" s="7" t="str">
        <f>IFERROR(VLOOKUP(G1186, data!A:B, 2, FALSE), "Tienda")</f>
        <v>SC ROSARITO</v>
      </c>
      <c r="G1186" s="1">
        <v>4187</v>
      </c>
      <c r="H1186" s="2">
        <v>907</v>
      </c>
      <c r="I1186" s="3" t="s">
        <v>6</v>
      </c>
      <c r="J1186" s="4">
        <v>4</v>
      </c>
      <c r="K1186" s="8">
        <f>IFERROR(VLOOKUP(I1186, data!E:F, 2, FALSE), "Precio Unidad")</f>
        <v>167</v>
      </c>
      <c r="L1186" s="9">
        <f t="shared" si="19"/>
        <v>668</v>
      </c>
    </row>
    <row r="1187" spans="1:12" ht="15" customHeight="1" x14ac:dyDescent="0.2">
      <c r="A1187" s="54">
        <v>46221</v>
      </c>
      <c r="F1187" s="7" t="str">
        <f>IFERROR(VLOOKUP(G1187, data!A:B, 2, FALSE), "Tienda")</f>
        <v>SC ROSARITO</v>
      </c>
      <c r="G1187" s="1">
        <v>4187</v>
      </c>
      <c r="H1187" s="2">
        <v>907</v>
      </c>
      <c r="I1187" s="3" t="s">
        <v>7</v>
      </c>
      <c r="J1187" s="4">
        <v>6</v>
      </c>
      <c r="K1187" s="8">
        <f>IFERROR(VLOOKUP(I1187, data!E:F, 2, FALSE), "Precio Unidad")</f>
        <v>113</v>
      </c>
      <c r="L1187" s="9">
        <f t="shared" si="19"/>
        <v>678</v>
      </c>
    </row>
    <row r="1188" spans="1:12" ht="15" customHeight="1" x14ac:dyDescent="0.2">
      <c r="A1188" s="54">
        <v>46221</v>
      </c>
      <c r="F1188" s="7" t="str">
        <f>IFERROR(VLOOKUP(G1188, data!A:B, 2, FALSE), "Tienda")</f>
        <v>SC ROSARITO</v>
      </c>
      <c r="G1188" s="1">
        <v>4187</v>
      </c>
      <c r="H1188" s="2">
        <v>907</v>
      </c>
      <c r="I1188" s="3" t="s">
        <v>10</v>
      </c>
      <c r="J1188" s="4">
        <v>8</v>
      </c>
      <c r="K1188" s="8">
        <f>IFERROR(VLOOKUP(I1188, data!E:F, 2, FALSE), "Precio Unidad")</f>
        <v>151</v>
      </c>
      <c r="L1188" s="9">
        <f t="shared" si="19"/>
        <v>1208</v>
      </c>
    </row>
    <row r="1189" spans="1:12" ht="15" customHeight="1" x14ac:dyDescent="0.2">
      <c r="A1189" s="54">
        <v>46221</v>
      </c>
      <c r="F1189" s="7" t="str">
        <f>IFERROR(VLOOKUP(G1189, data!A:B, 2, FALSE), "Tienda")</f>
        <v>SC ROSARITO</v>
      </c>
      <c r="G1189" s="1">
        <v>4187</v>
      </c>
      <c r="H1189" s="2">
        <v>907</v>
      </c>
      <c r="I1189" s="3" t="s">
        <v>12</v>
      </c>
      <c r="J1189" s="4">
        <v>10</v>
      </c>
      <c r="K1189" s="8">
        <f>IFERROR(VLOOKUP(I1189, data!E:F, 2, FALSE), "Precio Unidad")</f>
        <v>95</v>
      </c>
      <c r="L1189" s="9">
        <f t="shared" si="19"/>
        <v>950</v>
      </c>
    </row>
    <row r="1190" spans="1:12" ht="15" customHeight="1" x14ac:dyDescent="0.2">
      <c r="A1190" s="54">
        <v>46221</v>
      </c>
      <c r="F1190" s="7" t="str">
        <f>IFERROR(VLOOKUP(G1190, data!A:B, 2, FALSE), "Tienda")</f>
        <v>SC ROSARITO</v>
      </c>
      <c r="G1190" s="1">
        <v>4187</v>
      </c>
      <c r="H1190" s="2">
        <v>907</v>
      </c>
      <c r="I1190" s="3" t="s">
        <v>13</v>
      </c>
      <c r="J1190" s="4">
        <v>16</v>
      </c>
      <c r="K1190" s="8">
        <f>IFERROR(VLOOKUP(I1190, data!E:F, 2, FALSE), "Precio Unidad")</f>
        <v>63</v>
      </c>
      <c r="L1190" s="9">
        <f t="shared" si="19"/>
        <v>1008</v>
      </c>
    </row>
    <row r="1191" spans="1:12" ht="15" customHeight="1" x14ac:dyDescent="0.2">
      <c r="A1191" s="54">
        <v>46221</v>
      </c>
      <c r="F1191" s="7" t="str">
        <f>IFERROR(VLOOKUP(G1191, data!A:B, 2, FALSE), "Tienda")</f>
        <v>SC GALERIAS DEL VALLE</v>
      </c>
      <c r="G1191" s="1">
        <v>4026</v>
      </c>
      <c r="H1191" s="2">
        <v>908</v>
      </c>
      <c r="I1191" s="3" t="s">
        <v>6</v>
      </c>
      <c r="J1191" s="4">
        <v>4</v>
      </c>
      <c r="K1191" s="8">
        <f>IFERROR(VLOOKUP(I1191, data!E:F, 2, FALSE), "Precio Unidad")</f>
        <v>167</v>
      </c>
      <c r="L1191" s="9">
        <f t="shared" si="19"/>
        <v>668</v>
      </c>
    </row>
    <row r="1192" spans="1:12" ht="15" customHeight="1" x14ac:dyDescent="0.2">
      <c r="A1192" s="54">
        <v>46221</v>
      </c>
      <c r="F1192" s="7" t="str">
        <f>IFERROR(VLOOKUP(G1192, data!A:B, 2, FALSE), "Tienda")</f>
        <v>SC GALERIAS DEL VALLE</v>
      </c>
      <c r="G1192" s="1">
        <v>4026</v>
      </c>
      <c r="H1192" s="2">
        <v>908</v>
      </c>
      <c r="I1192" s="3" t="s">
        <v>7</v>
      </c>
      <c r="J1192" s="4">
        <v>6</v>
      </c>
      <c r="K1192" s="8">
        <f>IFERROR(VLOOKUP(I1192, data!E:F, 2, FALSE), "Precio Unidad")</f>
        <v>113</v>
      </c>
      <c r="L1192" s="9">
        <f t="shared" si="19"/>
        <v>678</v>
      </c>
    </row>
    <row r="1193" spans="1:12" ht="15" customHeight="1" x14ac:dyDescent="0.2">
      <c r="A1193" s="54">
        <v>46221</v>
      </c>
      <c r="F1193" s="7" t="str">
        <f>IFERROR(VLOOKUP(G1193, data!A:B, 2, FALSE), "Tienda")</f>
        <v>SC GALERIAS DEL VALLE</v>
      </c>
      <c r="G1193" s="1">
        <v>4026</v>
      </c>
      <c r="H1193" s="2">
        <v>908</v>
      </c>
      <c r="I1193" s="3" t="s">
        <v>10</v>
      </c>
      <c r="J1193" s="4">
        <v>16</v>
      </c>
      <c r="K1193" s="8">
        <f>IFERROR(VLOOKUP(I1193, data!E:F, 2, FALSE), "Precio Unidad")</f>
        <v>151</v>
      </c>
      <c r="L1193" s="9">
        <f t="shared" si="19"/>
        <v>2416</v>
      </c>
    </row>
    <row r="1194" spans="1:12" ht="15" customHeight="1" x14ac:dyDescent="0.2">
      <c r="A1194" s="54">
        <v>46221</v>
      </c>
      <c r="F1194" s="7" t="str">
        <f>IFERROR(VLOOKUP(G1194, data!A:B, 2, FALSE), "Tienda")</f>
        <v>SC GALERIAS DEL VALLE</v>
      </c>
      <c r="G1194" s="1">
        <v>4026</v>
      </c>
      <c r="H1194" s="2">
        <v>908</v>
      </c>
      <c r="I1194" s="3" t="s">
        <v>11</v>
      </c>
      <c r="J1194" s="4">
        <v>6</v>
      </c>
      <c r="K1194" s="8">
        <f>IFERROR(VLOOKUP(I1194, data!E:F, 2, FALSE), "Precio Unidad")</f>
        <v>177</v>
      </c>
      <c r="L1194" s="9">
        <f t="shared" si="19"/>
        <v>1062</v>
      </c>
    </row>
    <row r="1195" spans="1:12" ht="15" customHeight="1" x14ac:dyDescent="0.2">
      <c r="A1195" s="54">
        <v>46221</v>
      </c>
      <c r="F1195" s="7" t="str">
        <f>IFERROR(VLOOKUP(G1195, data!A:B, 2, FALSE), "Tienda")</f>
        <v>SC GALERIAS DEL VALLE</v>
      </c>
      <c r="G1195" s="1">
        <v>4026</v>
      </c>
      <c r="H1195" s="2">
        <v>908</v>
      </c>
      <c r="I1195" s="3" t="s">
        <v>12</v>
      </c>
      <c r="J1195" s="4">
        <v>20</v>
      </c>
      <c r="K1195" s="8">
        <f>IFERROR(VLOOKUP(I1195, data!E:F, 2, FALSE), "Precio Unidad")</f>
        <v>95</v>
      </c>
      <c r="L1195" s="9">
        <f t="shared" si="19"/>
        <v>1900</v>
      </c>
    </row>
    <row r="1196" spans="1:12" ht="15" customHeight="1" x14ac:dyDescent="0.2">
      <c r="A1196" s="54">
        <v>46221</v>
      </c>
      <c r="F1196" s="7" t="str">
        <f>IFERROR(VLOOKUP(G1196, data!A:B, 2, FALSE), "Tienda")</f>
        <v>SC GALERIAS DEL VALLE</v>
      </c>
      <c r="G1196" s="1">
        <v>4026</v>
      </c>
      <c r="H1196" s="2">
        <v>908</v>
      </c>
      <c r="I1196" s="3" t="s">
        <v>13</v>
      </c>
      <c r="J1196" s="4">
        <v>16</v>
      </c>
      <c r="K1196" s="8">
        <f>IFERROR(VLOOKUP(I1196, data!E:F, 2, FALSE), "Precio Unidad")</f>
        <v>63</v>
      </c>
      <c r="L1196" s="9">
        <f t="shared" si="19"/>
        <v>1008</v>
      </c>
    </row>
    <row r="1197" spans="1:12" ht="15" customHeight="1" x14ac:dyDescent="0.2">
      <c r="A1197" s="54">
        <v>46221</v>
      </c>
      <c r="F1197" s="7" t="str">
        <f>IFERROR(VLOOKUP(G1197, data!A:B, 2, FALSE), "Tienda")</f>
        <v>SC MEXICALI</v>
      </c>
      <c r="G1197" s="1">
        <v>2304</v>
      </c>
      <c r="H1197" s="2">
        <v>909</v>
      </c>
      <c r="I1197" s="3" t="s">
        <v>6</v>
      </c>
      <c r="J1197" s="4">
        <v>8</v>
      </c>
      <c r="K1197" s="8">
        <f>IFERROR(VLOOKUP(I1197, data!E:F, 2, FALSE), "Precio Unidad")</f>
        <v>167</v>
      </c>
      <c r="L1197" s="9">
        <f t="shared" si="19"/>
        <v>1336</v>
      </c>
    </row>
    <row r="1198" spans="1:12" ht="15" customHeight="1" x14ac:dyDescent="0.2">
      <c r="A1198" s="54">
        <v>46221</v>
      </c>
      <c r="F1198" s="7" t="str">
        <f>IFERROR(VLOOKUP(G1198, data!A:B, 2, FALSE), "Tienda")</f>
        <v>SC MEXICALI</v>
      </c>
      <c r="G1198" s="1">
        <v>2304</v>
      </c>
      <c r="H1198" s="2">
        <v>909</v>
      </c>
      <c r="I1198" s="3" t="s">
        <v>10</v>
      </c>
      <c r="J1198" s="4">
        <v>16</v>
      </c>
      <c r="K1198" s="8">
        <f>IFERROR(VLOOKUP(I1198, data!E:F, 2, FALSE), "Precio Unidad")</f>
        <v>151</v>
      </c>
      <c r="L1198" s="9">
        <f t="shared" si="19"/>
        <v>2416</v>
      </c>
    </row>
    <row r="1199" spans="1:12" ht="15" customHeight="1" x14ac:dyDescent="0.2">
      <c r="A1199" s="54">
        <v>46221</v>
      </c>
      <c r="F1199" s="7" t="str">
        <f>IFERROR(VLOOKUP(G1199, data!A:B, 2, FALSE), "Tienda")</f>
        <v>SC MEXICALI</v>
      </c>
      <c r="G1199" s="1">
        <v>2304</v>
      </c>
      <c r="H1199" s="2">
        <v>909</v>
      </c>
      <c r="I1199" s="3" t="s">
        <v>11</v>
      </c>
      <c r="J1199" s="4">
        <v>6</v>
      </c>
      <c r="K1199" s="8">
        <f>IFERROR(VLOOKUP(I1199, data!E:F, 2, FALSE), "Precio Unidad")</f>
        <v>177</v>
      </c>
      <c r="L1199" s="9">
        <f t="shared" si="19"/>
        <v>1062</v>
      </c>
    </row>
    <row r="1200" spans="1:12" ht="15" customHeight="1" x14ac:dyDescent="0.2">
      <c r="A1200" s="54">
        <v>46221</v>
      </c>
      <c r="F1200" s="7" t="str">
        <f>IFERROR(VLOOKUP(G1200, data!A:B, 2, FALSE), "Tienda")</f>
        <v>SC MEXICALI</v>
      </c>
      <c r="G1200" s="1">
        <v>2304</v>
      </c>
      <c r="H1200" s="2">
        <v>909</v>
      </c>
      <c r="I1200" s="3" t="s">
        <v>12</v>
      </c>
      <c r="J1200" s="4">
        <v>10</v>
      </c>
      <c r="K1200" s="8">
        <f>IFERROR(VLOOKUP(I1200, data!E:F, 2, FALSE), "Precio Unidad")</f>
        <v>95</v>
      </c>
      <c r="L1200" s="9">
        <f t="shared" si="19"/>
        <v>950</v>
      </c>
    </row>
    <row r="1201" spans="1:12" ht="15" customHeight="1" x14ac:dyDescent="0.2">
      <c r="A1201" s="54">
        <v>46221</v>
      </c>
      <c r="F1201" s="7" t="str">
        <f>IFERROR(VLOOKUP(G1201, data!A:B, 2, FALSE), "Tienda")</f>
        <v>SC MEXICALI</v>
      </c>
      <c r="G1201" s="1">
        <v>2304</v>
      </c>
      <c r="H1201" s="2">
        <v>909</v>
      </c>
      <c r="I1201" s="3" t="s">
        <v>13</v>
      </c>
      <c r="J1201" s="4">
        <v>16</v>
      </c>
      <c r="K1201" s="8">
        <f>IFERROR(VLOOKUP(I1201, data!E:F, 2, FALSE), "Precio Unidad")</f>
        <v>63</v>
      </c>
      <c r="L1201" s="9">
        <f t="shared" si="19"/>
        <v>1008</v>
      </c>
    </row>
    <row r="1202" spans="1:12" ht="15" customHeight="1" x14ac:dyDescent="0.2">
      <c r="A1202" s="54">
        <v>46221</v>
      </c>
      <c r="F1202" s="7" t="str">
        <f>IFERROR(VLOOKUP(G1202, data!A:B, 2, FALSE), "Tienda")</f>
        <v>SC LOMAS DE SANTA FE</v>
      </c>
      <c r="G1202" s="1">
        <v>190</v>
      </c>
      <c r="H1202" s="2">
        <v>910</v>
      </c>
      <c r="I1202" s="3" t="s">
        <v>10</v>
      </c>
      <c r="J1202" s="4">
        <v>8</v>
      </c>
      <c r="K1202" s="8">
        <f>IFERROR(VLOOKUP(I1202, data!E:F, 2, FALSE), "Precio Unidad")</f>
        <v>151</v>
      </c>
      <c r="L1202" s="9">
        <f t="shared" si="19"/>
        <v>1208</v>
      </c>
    </row>
    <row r="1203" spans="1:12" ht="15" customHeight="1" x14ac:dyDescent="0.2">
      <c r="A1203" s="54">
        <v>46221</v>
      </c>
      <c r="F1203" s="7" t="str">
        <f>IFERROR(VLOOKUP(G1203, data!A:B, 2, FALSE), "Tienda")</f>
        <v>SC LOMAS DE SANTA FE</v>
      </c>
      <c r="G1203" s="1">
        <v>190</v>
      </c>
      <c r="H1203" s="2">
        <v>910</v>
      </c>
      <c r="I1203" s="3" t="s">
        <v>12</v>
      </c>
      <c r="J1203" s="4">
        <v>10</v>
      </c>
      <c r="K1203" s="8">
        <f>IFERROR(VLOOKUP(I1203, data!E:F, 2, FALSE), "Precio Unidad")</f>
        <v>95</v>
      </c>
      <c r="L1203" s="9">
        <f t="shared" si="19"/>
        <v>950</v>
      </c>
    </row>
    <row r="1204" spans="1:12" ht="15" customHeight="1" x14ac:dyDescent="0.2">
      <c r="A1204" s="54">
        <v>46221</v>
      </c>
      <c r="F1204" s="7" t="str">
        <f>IFERROR(VLOOKUP(G1204, data!A:B, 2, FALSE), "Tienda")</f>
        <v>SC LOMAS DE SANTA FE</v>
      </c>
      <c r="G1204" s="1">
        <v>190</v>
      </c>
      <c r="H1204" s="2">
        <v>910</v>
      </c>
      <c r="I1204" s="3" t="s">
        <v>13</v>
      </c>
      <c r="J1204" s="4">
        <v>16</v>
      </c>
      <c r="K1204" s="8">
        <f>IFERROR(VLOOKUP(I1204, data!E:F, 2, FALSE), "Precio Unidad")</f>
        <v>63</v>
      </c>
      <c r="L1204" s="9">
        <f t="shared" si="19"/>
        <v>1008</v>
      </c>
    </row>
    <row r="1205" spans="1:12" ht="15" customHeight="1" x14ac:dyDescent="0.2">
      <c r="A1205" s="54">
        <v>46221</v>
      </c>
      <c r="F1205" s="7" t="str">
        <f>IFERROR(VLOOKUP(G1205, data!A:B, 2, FALSE), "Tienda")</f>
        <v>SC MEXICALI NOVENA</v>
      </c>
      <c r="G1205" s="1">
        <v>1617</v>
      </c>
      <c r="H1205" s="2">
        <v>911</v>
      </c>
      <c r="I1205" s="3" t="s">
        <v>6</v>
      </c>
      <c r="J1205" s="4">
        <v>8</v>
      </c>
      <c r="K1205" s="8">
        <f>IFERROR(VLOOKUP(I1205, data!E:F, 2, FALSE), "Precio Unidad")</f>
        <v>167</v>
      </c>
      <c r="L1205" s="9">
        <f t="shared" si="19"/>
        <v>1336</v>
      </c>
    </row>
    <row r="1206" spans="1:12" ht="15" customHeight="1" x14ac:dyDescent="0.2">
      <c r="A1206" s="54">
        <v>46221</v>
      </c>
      <c r="F1206" s="7" t="str">
        <f>IFERROR(VLOOKUP(G1206, data!A:B, 2, FALSE), "Tienda")</f>
        <v>SC MEXICALI NOVENA</v>
      </c>
      <c r="G1206" s="1">
        <v>1617</v>
      </c>
      <c r="H1206" s="2">
        <v>911</v>
      </c>
      <c r="I1206" s="3" t="s">
        <v>7</v>
      </c>
      <c r="J1206" s="4">
        <v>10</v>
      </c>
      <c r="K1206" s="8">
        <f>IFERROR(VLOOKUP(I1206, data!E:F, 2, FALSE), "Precio Unidad")</f>
        <v>113</v>
      </c>
      <c r="L1206" s="9">
        <f t="shared" si="19"/>
        <v>1130</v>
      </c>
    </row>
    <row r="1207" spans="1:12" ht="15" customHeight="1" x14ac:dyDescent="0.2">
      <c r="A1207" s="54">
        <v>46221</v>
      </c>
      <c r="F1207" s="7" t="str">
        <f>IFERROR(VLOOKUP(G1207, data!A:B, 2, FALSE), "Tienda")</f>
        <v>SC MEXICALI NOVENA</v>
      </c>
      <c r="G1207" s="1">
        <v>1617</v>
      </c>
      <c r="H1207" s="2">
        <v>911</v>
      </c>
      <c r="I1207" s="3" t="s">
        <v>10</v>
      </c>
      <c r="J1207" s="4">
        <v>16</v>
      </c>
      <c r="K1207" s="8">
        <f>IFERROR(VLOOKUP(I1207, data!E:F, 2, FALSE), "Precio Unidad")</f>
        <v>151</v>
      </c>
      <c r="L1207" s="9">
        <f t="shared" si="19"/>
        <v>2416</v>
      </c>
    </row>
    <row r="1208" spans="1:12" ht="15" customHeight="1" x14ac:dyDescent="0.2">
      <c r="A1208" s="54">
        <v>46221</v>
      </c>
      <c r="F1208" s="7" t="str">
        <f>IFERROR(VLOOKUP(G1208, data!A:B, 2, FALSE), "Tienda")</f>
        <v>SC MEXICALI NOVENA</v>
      </c>
      <c r="G1208" s="1">
        <v>1617</v>
      </c>
      <c r="H1208" s="2">
        <v>911</v>
      </c>
      <c r="I1208" s="3" t="s">
        <v>11</v>
      </c>
      <c r="J1208" s="4">
        <v>6</v>
      </c>
      <c r="K1208" s="8">
        <f>IFERROR(VLOOKUP(I1208, data!E:F, 2, FALSE), "Precio Unidad")</f>
        <v>177</v>
      </c>
      <c r="L1208" s="9">
        <f t="shared" si="19"/>
        <v>1062</v>
      </c>
    </row>
    <row r="1209" spans="1:12" ht="15" customHeight="1" x14ac:dyDescent="0.2">
      <c r="A1209" s="54">
        <v>46221</v>
      </c>
      <c r="F1209" s="7" t="str">
        <f>IFERROR(VLOOKUP(G1209, data!A:B, 2, FALSE), "Tienda")</f>
        <v>SC MEXICALI NOVENA</v>
      </c>
      <c r="G1209" s="1">
        <v>1617</v>
      </c>
      <c r="H1209" s="2">
        <v>911</v>
      </c>
      <c r="I1209" s="3" t="s">
        <v>12</v>
      </c>
      <c r="J1209" s="4">
        <v>20</v>
      </c>
      <c r="K1209" s="8">
        <f>IFERROR(VLOOKUP(I1209, data!E:F, 2, FALSE), "Precio Unidad")</f>
        <v>95</v>
      </c>
      <c r="L1209" s="9">
        <f t="shared" si="19"/>
        <v>1900</v>
      </c>
    </row>
    <row r="1210" spans="1:12" ht="15" customHeight="1" x14ac:dyDescent="0.2">
      <c r="A1210" s="54">
        <v>46221</v>
      </c>
      <c r="F1210" s="7" t="str">
        <f>IFERROR(VLOOKUP(G1210, data!A:B, 2, FALSE), "Tienda")</f>
        <v>SC MEXICALI NOVENA</v>
      </c>
      <c r="G1210" s="1">
        <v>1617</v>
      </c>
      <c r="H1210" s="2">
        <v>911</v>
      </c>
      <c r="I1210" s="3" t="s">
        <v>13</v>
      </c>
      <c r="J1210" s="4">
        <v>8</v>
      </c>
      <c r="K1210" s="8">
        <f>IFERROR(VLOOKUP(I1210, data!E:F, 2, FALSE), "Precio Unidad")</f>
        <v>63</v>
      </c>
      <c r="L1210" s="9">
        <f t="shared" si="19"/>
        <v>504</v>
      </c>
    </row>
    <row r="1211" spans="1:12" ht="15" customHeight="1" x14ac:dyDescent="0.2">
      <c r="A1211" s="54">
        <v>46221</v>
      </c>
      <c r="F1211" s="7" t="str">
        <f>IFERROR(VLOOKUP(G1211, data!A:B, 2, FALSE), "Tienda")</f>
        <v>SC PACIFICO</v>
      </c>
      <c r="G1211" s="1">
        <v>1616</v>
      </c>
      <c r="H1211" s="2">
        <v>912</v>
      </c>
      <c r="I1211" s="3" t="s">
        <v>6</v>
      </c>
      <c r="J1211" s="4">
        <v>4</v>
      </c>
      <c r="K1211" s="8">
        <f>IFERROR(VLOOKUP(I1211, data!E:F, 2, FALSE), "Precio Unidad")</f>
        <v>167</v>
      </c>
      <c r="L1211" s="9">
        <f t="shared" si="19"/>
        <v>668</v>
      </c>
    </row>
    <row r="1212" spans="1:12" ht="15" customHeight="1" x14ac:dyDescent="0.2">
      <c r="A1212" s="54">
        <v>46221</v>
      </c>
      <c r="F1212" s="7" t="str">
        <f>IFERROR(VLOOKUP(G1212, data!A:B, 2, FALSE), "Tienda")</f>
        <v>SC PACIFICO</v>
      </c>
      <c r="G1212" s="1">
        <v>1616</v>
      </c>
      <c r="H1212" s="2">
        <v>912</v>
      </c>
      <c r="I1212" s="3" t="s">
        <v>7</v>
      </c>
      <c r="J1212" s="4">
        <v>6</v>
      </c>
      <c r="K1212" s="8">
        <f>IFERROR(VLOOKUP(I1212, data!E:F, 2, FALSE), "Precio Unidad")</f>
        <v>113</v>
      </c>
      <c r="L1212" s="9">
        <f t="shared" si="19"/>
        <v>678</v>
      </c>
    </row>
    <row r="1213" spans="1:12" ht="15" customHeight="1" x14ac:dyDescent="0.2">
      <c r="A1213" s="54">
        <v>46221</v>
      </c>
      <c r="F1213" s="7" t="str">
        <f>IFERROR(VLOOKUP(G1213, data!A:B, 2, FALSE), "Tienda")</f>
        <v>SC PACIFICO</v>
      </c>
      <c r="G1213" s="1">
        <v>1616</v>
      </c>
      <c r="H1213" s="2">
        <v>912</v>
      </c>
      <c r="I1213" s="3" t="s">
        <v>10</v>
      </c>
      <c r="J1213" s="4">
        <v>8</v>
      </c>
      <c r="K1213" s="8">
        <f>IFERROR(VLOOKUP(I1213, data!E:F, 2, FALSE), "Precio Unidad")</f>
        <v>151</v>
      </c>
      <c r="L1213" s="9">
        <f t="shared" si="19"/>
        <v>1208</v>
      </c>
    </row>
    <row r="1214" spans="1:12" ht="15" customHeight="1" x14ac:dyDescent="0.2">
      <c r="A1214" s="54">
        <v>46221</v>
      </c>
      <c r="F1214" s="7" t="str">
        <f>IFERROR(VLOOKUP(G1214, data!A:B, 2, FALSE), "Tienda")</f>
        <v>SC PACIFICO</v>
      </c>
      <c r="G1214" s="1">
        <v>1616</v>
      </c>
      <c r="H1214" s="2">
        <v>912</v>
      </c>
      <c r="I1214" s="3" t="s">
        <v>13</v>
      </c>
      <c r="J1214" s="4">
        <v>16</v>
      </c>
      <c r="K1214" s="8">
        <f>IFERROR(VLOOKUP(I1214, data!E:F, 2, FALSE), "Precio Unidad")</f>
        <v>63</v>
      </c>
      <c r="L1214" s="9">
        <f t="shared" si="19"/>
        <v>1008</v>
      </c>
    </row>
    <row r="1215" spans="1:12" ht="15" customHeight="1" x14ac:dyDescent="0.2">
      <c r="A1215" s="54">
        <v>46221</v>
      </c>
      <c r="F1215" s="7" t="str">
        <f>IFERROR(VLOOKUP(G1215, data!A:B, 2, FALSE), "Tienda")</f>
        <v>SC PLAYAS DE TIJUANA</v>
      </c>
      <c r="G1215" s="1">
        <v>1613</v>
      </c>
      <c r="H1215" s="2">
        <v>913</v>
      </c>
      <c r="I1215" s="3" t="s">
        <v>6</v>
      </c>
      <c r="J1215" s="4">
        <v>4</v>
      </c>
      <c r="K1215" s="8">
        <f>IFERROR(VLOOKUP(I1215, data!E:F, 2, FALSE), "Precio Unidad")</f>
        <v>167</v>
      </c>
      <c r="L1215" s="9">
        <f t="shared" si="19"/>
        <v>668</v>
      </c>
    </row>
    <row r="1216" spans="1:12" ht="15" customHeight="1" x14ac:dyDescent="0.2">
      <c r="A1216" s="54">
        <v>46221</v>
      </c>
      <c r="F1216" s="7" t="str">
        <f>IFERROR(VLOOKUP(G1216, data!A:B, 2, FALSE), "Tienda")</f>
        <v>SC PLAYAS DE TIJUANA</v>
      </c>
      <c r="G1216" s="1">
        <v>1613</v>
      </c>
      <c r="H1216" s="2">
        <v>913</v>
      </c>
      <c r="I1216" s="3" t="s">
        <v>7</v>
      </c>
      <c r="J1216" s="4">
        <v>6</v>
      </c>
      <c r="K1216" s="8">
        <f>IFERROR(VLOOKUP(I1216, data!E:F, 2, FALSE), "Precio Unidad")</f>
        <v>113</v>
      </c>
      <c r="L1216" s="9">
        <f t="shared" si="19"/>
        <v>678</v>
      </c>
    </row>
    <row r="1217" spans="1:12" ht="15" customHeight="1" x14ac:dyDescent="0.2">
      <c r="A1217" s="54">
        <v>46221</v>
      </c>
      <c r="F1217" s="7" t="str">
        <f>IFERROR(VLOOKUP(G1217, data!A:B, 2, FALSE), "Tienda")</f>
        <v>SC PLAYAS DE TIJUANA</v>
      </c>
      <c r="G1217" s="1">
        <v>1613</v>
      </c>
      <c r="H1217" s="2">
        <v>913</v>
      </c>
      <c r="I1217" s="3" t="s">
        <v>10</v>
      </c>
      <c r="J1217" s="4">
        <v>8</v>
      </c>
      <c r="K1217" s="8">
        <f>IFERROR(VLOOKUP(I1217, data!E:F, 2, FALSE), "Precio Unidad")</f>
        <v>151</v>
      </c>
      <c r="L1217" s="9">
        <f t="shared" si="19"/>
        <v>1208</v>
      </c>
    </row>
    <row r="1218" spans="1:12" ht="15" customHeight="1" x14ac:dyDescent="0.2">
      <c r="A1218" s="54">
        <v>46221</v>
      </c>
      <c r="F1218" s="7" t="str">
        <f>IFERROR(VLOOKUP(G1218, data!A:B, 2, FALSE), "Tienda")</f>
        <v>SC PLAYAS DE TIJUANA</v>
      </c>
      <c r="G1218" s="1">
        <v>1613</v>
      </c>
      <c r="H1218" s="2">
        <v>913</v>
      </c>
      <c r="I1218" s="3" t="s">
        <v>13</v>
      </c>
      <c r="J1218" s="4">
        <v>16</v>
      </c>
      <c r="K1218" s="8">
        <f>IFERROR(VLOOKUP(I1218, data!E:F, 2, FALSE), "Precio Unidad")</f>
        <v>63</v>
      </c>
      <c r="L1218" s="9">
        <f t="shared" si="19"/>
        <v>1008</v>
      </c>
    </row>
    <row r="1219" spans="1:12" ht="15" customHeight="1" x14ac:dyDescent="0.2">
      <c r="A1219" s="54">
        <v>46221</v>
      </c>
      <c r="F1219" s="7" t="str">
        <f>IFERROR(VLOOKUP(G1219, data!A:B, 2, FALSE), "Tienda")</f>
        <v>SC PLAZA SAN PEDRO</v>
      </c>
      <c r="G1219" s="1">
        <v>1140</v>
      </c>
      <c r="H1219" s="2">
        <v>914</v>
      </c>
      <c r="I1219" s="3" t="s">
        <v>6</v>
      </c>
      <c r="J1219" s="4">
        <v>8</v>
      </c>
      <c r="K1219" s="8">
        <f>IFERROR(VLOOKUP(I1219, data!E:F, 2, FALSE), "Precio Unidad")</f>
        <v>167</v>
      </c>
      <c r="L1219" s="9">
        <f t="shared" si="19"/>
        <v>1336</v>
      </c>
    </row>
    <row r="1220" spans="1:12" ht="15" customHeight="1" x14ac:dyDescent="0.2">
      <c r="A1220" s="54">
        <v>46221</v>
      </c>
      <c r="F1220" s="7" t="str">
        <f>IFERROR(VLOOKUP(G1220, data!A:B, 2, FALSE), "Tienda")</f>
        <v>SC PLAZA SAN PEDRO</v>
      </c>
      <c r="G1220" s="1">
        <v>1140</v>
      </c>
      <c r="H1220" s="2">
        <v>914</v>
      </c>
      <c r="I1220" s="3" t="s">
        <v>7</v>
      </c>
      <c r="J1220" s="4">
        <v>10</v>
      </c>
      <c r="K1220" s="8">
        <f>IFERROR(VLOOKUP(I1220, data!E:F, 2, FALSE), "Precio Unidad")</f>
        <v>113</v>
      </c>
      <c r="L1220" s="9">
        <f t="shared" si="19"/>
        <v>1130</v>
      </c>
    </row>
    <row r="1221" spans="1:12" ht="15" customHeight="1" x14ac:dyDescent="0.2">
      <c r="A1221" s="54">
        <v>46221</v>
      </c>
      <c r="F1221" s="7" t="str">
        <f>IFERROR(VLOOKUP(G1221, data!A:B, 2, FALSE), "Tienda")</f>
        <v>SC PLAZA SAN PEDRO</v>
      </c>
      <c r="G1221" s="1">
        <v>1140</v>
      </c>
      <c r="H1221" s="2">
        <v>914</v>
      </c>
      <c r="I1221" s="3" t="s">
        <v>10</v>
      </c>
      <c r="J1221" s="4">
        <v>8</v>
      </c>
      <c r="K1221" s="8">
        <f>IFERROR(VLOOKUP(I1221, data!E:F, 2, FALSE), "Precio Unidad")</f>
        <v>151</v>
      </c>
      <c r="L1221" s="9">
        <f t="shared" ref="L1221:L1250" si="20">K1221*J1221</f>
        <v>1208</v>
      </c>
    </row>
    <row r="1222" spans="1:12" ht="15" customHeight="1" x14ac:dyDescent="0.2">
      <c r="A1222" s="54">
        <v>46221</v>
      </c>
      <c r="F1222" s="7" t="str">
        <f>IFERROR(VLOOKUP(G1222, data!A:B, 2, FALSE), "Tienda")</f>
        <v>SC PLAZA SAN PEDRO</v>
      </c>
      <c r="G1222" s="1">
        <v>1140</v>
      </c>
      <c r="H1222" s="2">
        <v>914</v>
      </c>
      <c r="I1222" s="3" t="s">
        <v>11</v>
      </c>
      <c r="J1222" s="4">
        <v>6</v>
      </c>
      <c r="K1222" s="8">
        <f>IFERROR(VLOOKUP(I1222, data!E:F, 2, FALSE), "Precio Unidad")</f>
        <v>177</v>
      </c>
      <c r="L1222" s="9">
        <f t="shared" si="20"/>
        <v>1062</v>
      </c>
    </row>
    <row r="1223" spans="1:12" ht="15" customHeight="1" x14ac:dyDescent="0.2">
      <c r="A1223" s="54">
        <v>46221</v>
      </c>
      <c r="F1223" s="7" t="str">
        <f>IFERROR(VLOOKUP(G1223, data!A:B, 2, FALSE), "Tienda")</f>
        <v>SC PLAZA SAN PEDRO</v>
      </c>
      <c r="G1223" s="1">
        <v>1140</v>
      </c>
      <c r="H1223" s="2">
        <v>914</v>
      </c>
      <c r="I1223" s="3" t="s">
        <v>12</v>
      </c>
      <c r="J1223" s="4">
        <v>10</v>
      </c>
      <c r="K1223" s="8">
        <f>IFERROR(VLOOKUP(I1223, data!E:F, 2, FALSE), "Precio Unidad")</f>
        <v>95</v>
      </c>
      <c r="L1223" s="9">
        <f t="shared" si="20"/>
        <v>950</v>
      </c>
    </row>
    <row r="1224" spans="1:12" ht="15" customHeight="1" x14ac:dyDescent="0.2">
      <c r="A1224" s="54">
        <v>46221</v>
      </c>
      <c r="F1224" s="7" t="str">
        <f>IFERROR(VLOOKUP(G1224, data!A:B, 2, FALSE), "Tienda")</f>
        <v>SC PLAZA SAN PEDRO</v>
      </c>
      <c r="G1224" s="1">
        <v>1140</v>
      </c>
      <c r="H1224" s="2">
        <v>914</v>
      </c>
      <c r="I1224" s="3" t="s">
        <v>13</v>
      </c>
      <c r="J1224" s="4">
        <v>8</v>
      </c>
      <c r="K1224" s="8">
        <f>IFERROR(VLOOKUP(I1224, data!E:F, 2, FALSE), "Precio Unidad")</f>
        <v>63</v>
      </c>
      <c r="L1224" s="9">
        <f t="shared" si="20"/>
        <v>504</v>
      </c>
    </row>
    <row r="1225" spans="1:12" ht="15" customHeight="1" x14ac:dyDescent="0.2">
      <c r="A1225" s="54">
        <v>46223</v>
      </c>
      <c r="F1225" s="7" t="str">
        <f>IFERROR(VLOOKUP(G1225, data!A:B, 2, FALSE), "Tienda")</f>
        <v>SC TECATE GARITA</v>
      </c>
      <c r="G1225" s="1">
        <v>5295</v>
      </c>
      <c r="H1225" s="2">
        <v>915</v>
      </c>
      <c r="I1225" s="3" t="s">
        <v>6</v>
      </c>
      <c r="J1225" s="4">
        <v>4</v>
      </c>
      <c r="K1225" s="8">
        <f>IFERROR(VLOOKUP(I1225, data!E:F, 2, FALSE), "Precio Unidad")</f>
        <v>167</v>
      </c>
      <c r="L1225" s="9">
        <f t="shared" si="20"/>
        <v>668</v>
      </c>
    </row>
    <row r="1226" spans="1:12" ht="15" customHeight="1" x14ac:dyDescent="0.2">
      <c r="A1226" s="54">
        <v>46223</v>
      </c>
      <c r="F1226" s="7" t="str">
        <f>IFERROR(VLOOKUP(G1226, data!A:B, 2, FALSE), "Tienda")</f>
        <v>SC TECATE GARITA</v>
      </c>
      <c r="G1226" s="1">
        <v>5295</v>
      </c>
      <c r="H1226" s="2">
        <v>915</v>
      </c>
      <c r="I1226" s="3" t="s">
        <v>7</v>
      </c>
      <c r="J1226" s="4">
        <v>6</v>
      </c>
      <c r="K1226" s="8">
        <f>IFERROR(VLOOKUP(I1226, data!E:F, 2, FALSE), "Precio Unidad")</f>
        <v>113</v>
      </c>
      <c r="L1226" s="9">
        <f t="shared" si="20"/>
        <v>678</v>
      </c>
    </row>
    <row r="1227" spans="1:12" ht="15" customHeight="1" x14ac:dyDescent="0.2">
      <c r="A1227" s="54">
        <v>46223</v>
      </c>
      <c r="F1227" s="7" t="str">
        <f>IFERROR(VLOOKUP(G1227, data!A:B, 2, FALSE), "Tienda")</f>
        <v>SC TECATE GARITA</v>
      </c>
      <c r="G1227" s="1">
        <v>5295</v>
      </c>
      <c r="H1227" s="2">
        <v>915</v>
      </c>
      <c r="I1227" s="3" t="s">
        <v>10</v>
      </c>
      <c r="J1227" s="4">
        <v>8</v>
      </c>
      <c r="K1227" s="8">
        <f>IFERROR(VLOOKUP(I1227, data!E:F, 2, FALSE), "Precio Unidad")</f>
        <v>151</v>
      </c>
      <c r="L1227" s="9">
        <f t="shared" si="20"/>
        <v>1208</v>
      </c>
    </row>
    <row r="1228" spans="1:12" ht="15" customHeight="1" x14ac:dyDescent="0.2">
      <c r="A1228" s="54">
        <v>46223</v>
      </c>
      <c r="F1228" s="7" t="str">
        <f>IFERROR(VLOOKUP(G1228, data!A:B, 2, FALSE), "Tienda")</f>
        <v>SC TECATE GARITA</v>
      </c>
      <c r="G1228" s="1">
        <v>5295</v>
      </c>
      <c r="H1228" s="2">
        <v>915</v>
      </c>
      <c r="I1228" s="3" t="s">
        <v>12</v>
      </c>
      <c r="J1228" s="4">
        <v>10</v>
      </c>
      <c r="K1228" s="8">
        <f>IFERROR(VLOOKUP(I1228, data!E:F, 2, FALSE), "Precio Unidad")</f>
        <v>95</v>
      </c>
      <c r="L1228" s="9">
        <f t="shared" si="20"/>
        <v>950</v>
      </c>
    </row>
    <row r="1229" spans="1:12" ht="15" customHeight="1" x14ac:dyDescent="0.2">
      <c r="A1229" s="54">
        <v>46223</v>
      </c>
      <c r="F1229" s="7" t="str">
        <f>IFERROR(VLOOKUP(G1229, data!A:B, 2, FALSE), "Tienda")</f>
        <v>SC TECATE GARITA</v>
      </c>
      <c r="G1229" s="1">
        <v>5295</v>
      </c>
      <c r="H1229" s="2">
        <v>915</v>
      </c>
      <c r="I1229" s="3" t="s">
        <v>13</v>
      </c>
      <c r="J1229" s="4">
        <v>8</v>
      </c>
      <c r="K1229" s="8">
        <f>IFERROR(VLOOKUP(I1229, data!E:F, 2, FALSE), "Precio Unidad")</f>
        <v>63</v>
      </c>
      <c r="L1229" s="9">
        <f t="shared" si="20"/>
        <v>504</v>
      </c>
    </row>
    <row r="1230" spans="1:12" ht="15" customHeight="1" x14ac:dyDescent="0.2">
      <c r="A1230" s="54">
        <v>46223</v>
      </c>
      <c r="F1230" s="7" t="str">
        <f>IFERROR(VLOOKUP(G1230, data!A:B, 2, FALSE), "Tienda")</f>
        <v>SC TIJUANA 2000</v>
      </c>
      <c r="G1230" s="1">
        <v>4155</v>
      </c>
      <c r="H1230" s="2">
        <v>916</v>
      </c>
      <c r="I1230" s="3" t="s">
        <v>10</v>
      </c>
      <c r="J1230" s="4">
        <v>8</v>
      </c>
      <c r="K1230" s="8">
        <f>IFERROR(VLOOKUP(I1230, data!E:F, 2, FALSE), "Precio Unidad")</f>
        <v>151</v>
      </c>
      <c r="L1230" s="9">
        <f t="shared" si="20"/>
        <v>1208</v>
      </c>
    </row>
    <row r="1231" spans="1:12" ht="15" customHeight="1" x14ac:dyDescent="0.2">
      <c r="A1231" s="54">
        <v>46223</v>
      </c>
      <c r="F1231" s="7" t="str">
        <f>IFERROR(VLOOKUP(G1231, data!A:B, 2, FALSE), "Tienda")</f>
        <v>SC TIJUANA 2000</v>
      </c>
      <c r="G1231" s="1">
        <v>4155</v>
      </c>
      <c r="H1231" s="2">
        <v>916</v>
      </c>
      <c r="I1231" s="3" t="s">
        <v>12</v>
      </c>
      <c r="J1231" s="4">
        <v>10</v>
      </c>
      <c r="K1231" s="8">
        <f>IFERROR(VLOOKUP(I1231, data!E:F, 2, FALSE), "Precio Unidad")</f>
        <v>95</v>
      </c>
      <c r="L1231" s="9">
        <f t="shared" si="20"/>
        <v>950</v>
      </c>
    </row>
    <row r="1232" spans="1:12" ht="15" customHeight="1" x14ac:dyDescent="0.2">
      <c r="A1232" s="54">
        <v>46223</v>
      </c>
      <c r="F1232" s="7" t="str">
        <f>IFERROR(VLOOKUP(G1232, data!A:B, 2, FALSE), "Tienda")</f>
        <v>SC TIJUANA 2000</v>
      </c>
      <c r="G1232" s="1">
        <v>4155</v>
      </c>
      <c r="H1232" s="2">
        <v>916</v>
      </c>
      <c r="I1232" s="3" t="s">
        <v>13</v>
      </c>
      <c r="J1232" s="4">
        <v>16</v>
      </c>
      <c r="K1232" s="8">
        <f>IFERROR(VLOOKUP(I1232, data!E:F, 2, FALSE), "Precio Unidad")</f>
        <v>63</v>
      </c>
      <c r="L1232" s="9">
        <f t="shared" si="20"/>
        <v>1008</v>
      </c>
    </row>
    <row r="1233" spans="1:12" ht="15" customHeight="1" x14ac:dyDescent="0.2">
      <c r="A1233" s="54">
        <v>46223</v>
      </c>
      <c r="F1233" s="7" t="str">
        <f>IFERROR(VLOOKUP(G1233, data!A:B, 2, FALSE), "Tienda")</f>
        <v>SC TIJUANA HIPODROMO</v>
      </c>
      <c r="G1233" s="1">
        <v>4011</v>
      </c>
      <c r="H1233" s="2">
        <v>917</v>
      </c>
      <c r="I1233" s="3" t="s">
        <v>10</v>
      </c>
      <c r="J1233" s="4">
        <v>8</v>
      </c>
      <c r="K1233" s="8">
        <f>IFERROR(VLOOKUP(I1233, data!E:F, 2, FALSE), "Precio Unidad")</f>
        <v>151</v>
      </c>
      <c r="L1233" s="9">
        <f t="shared" si="20"/>
        <v>1208</v>
      </c>
    </row>
    <row r="1234" spans="1:12" ht="15" customHeight="1" x14ac:dyDescent="0.2">
      <c r="A1234" s="54">
        <v>46223</v>
      </c>
      <c r="F1234" s="7" t="str">
        <f>IFERROR(VLOOKUP(G1234, data!A:B, 2, FALSE), "Tienda")</f>
        <v>SC TIJUANA HIPODROMO</v>
      </c>
      <c r="G1234" s="1">
        <v>4011</v>
      </c>
      <c r="H1234" s="2">
        <v>917</v>
      </c>
      <c r="I1234" s="3" t="s">
        <v>12</v>
      </c>
      <c r="J1234" s="4">
        <v>10</v>
      </c>
      <c r="K1234" s="8">
        <f>IFERROR(VLOOKUP(I1234, data!E:F, 2, FALSE), "Precio Unidad")</f>
        <v>95</v>
      </c>
      <c r="L1234" s="9">
        <f t="shared" si="20"/>
        <v>950</v>
      </c>
    </row>
    <row r="1235" spans="1:12" ht="15" customHeight="1" x14ac:dyDescent="0.2">
      <c r="A1235" s="54">
        <v>46223</v>
      </c>
      <c r="F1235" s="7" t="str">
        <f>IFERROR(VLOOKUP(G1235, data!A:B, 2, FALSE), "Tienda")</f>
        <v>SC TIJUANA HIPODROMO</v>
      </c>
      <c r="G1235" s="1">
        <v>4011</v>
      </c>
      <c r="H1235" s="2">
        <v>917</v>
      </c>
      <c r="I1235" s="3" t="s">
        <v>13</v>
      </c>
      <c r="J1235" s="4">
        <v>16</v>
      </c>
      <c r="K1235" s="8">
        <f>IFERROR(VLOOKUP(I1235, data!E:F, 2, FALSE), "Precio Unidad")</f>
        <v>63</v>
      </c>
      <c r="L1235" s="9">
        <f t="shared" si="20"/>
        <v>1008</v>
      </c>
    </row>
    <row r="1236" spans="1:12" ht="15" customHeight="1" x14ac:dyDescent="0.2">
      <c r="A1236" s="54">
        <v>46223</v>
      </c>
      <c r="F1236" s="7" t="str">
        <f>IFERROR(VLOOKUP(G1236, data!A:B, 2, FALSE), "Tienda")</f>
        <v>SC DIAZ ORDAZ</v>
      </c>
      <c r="G1236" s="1">
        <v>3664</v>
      </c>
      <c r="H1236" s="2">
        <v>918</v>
      </c>
      <c r="I1236" s="3" t="s">
        <v>10</v>
      </c>
      <c r="J1236" s="4">
        <v>8</v>
      </c>
      <c r="K1236" s="8">
        <f>IFERROR(VLOOKUP(I1236, data!E:F, 2, FALSE), "Precio Unidad")</f>
        <v>151</v>
      </c>
      <c r="L1236" s="9">
        <f t="shared" si="20"/>
        <v>1208</v>
      </c>
    </row>
    <row r="1237" spans="1:12" ht="15" customHeight="1" x14ac:dyDescent="0.2">
      <c r="A1237" s="54">
        <v>46223</v>
      </c>
      <c r="F1237" s="7" t="str">
        <f>IFERROR(VLOOKUP(G1237, data!A:B, 2, FALSE), "Tienda")</f>
        <v>SC DIAZ ORDAZ</v>
      </c>
      <c r="G1237" s="1">
        <v>3664</v>
      </c>
      <c r="H1237" s="2">
        <v>918</v>
      </c>
      <c r="I1237" s="3" t="s">
        <v>12</v>
      </c>
      <c r="J1237" s="4">
        <v>10</v>
      </c>
      <c r="K1237" s="8">
        <f>IFERROR(VLOOKUP(I1237, data!E:F, 2, FALSE), "Precio Unidad")</f>
        <v>95</v>
      </c>
      <c r="L1237" s="9">
        <f t="shared" si="20"/>
        <v>950</v>
      </c>
    </row>
    <row r="1238" spans="1:12" ht="15" customHeight="1" x14ac:dyDescent="0.2">
      <c r="A1238" s="54">
        <v>46223</v>
      </c>
      <c r="F1238" s="7" t="str">
        <f>IFERROR(VLOOKUP(G1238, data!A:B, 2, FALSE), "Tienda")</f>
        <v>SC DIAZ ORDAZ</v>
      </c>
      <c r="G1238" s="1">
        <v>3664</v>
      </c>
      <c r="H1238" s="2">
        <v>918</v>
      </c>
      <c r="I1238" s="3" t="s">
        <v>13</v>
      </c>
      <c r="J1238" s="4">
        <v>16</v>
      </c>
      <c r="K1238" s="8">
        <f>IFERROR(VLOOKUP(I1238, data!E:F, 2, FALSE), "Precio Unidad")</f>
        <v>63</v>
      </c>
      <c r="L1238" s="9">
        <f t="shared" si="20"/>
        <v>1008</v>
      </c>
    </row>
    <row r="1239" spans="1:12" ht="15" customHeight="1" x14ac:dyDescent="0.2">
      <c r="A1239" s="54">
        <v>46223</v>
      </c>
      <c r="F1239" s="7" t="str">
        <f>IFERROR(VLOOKUP(G1239, data!A:B, 2, FALSE), "Tienda")</f>
        <v>SC MACROPLAZA INSURGENTES</v>
      </c>
      <c r="G1239" s="1">
        <v>2023</v>
      </c>
      <c r="H1239" s="2">
        <v>919</v>
      </c>
      <c r="I1239" s="3" t="s">
        <v>6</v>
      </c>
      <c r="J1239" s="4">
        <v>8</v>
      </c>
      <c r="K1239" s="8">
        <f>IFERROR(VLOOKUP(I1239, data!E:F, 2, FALSE), "Precio Unidad")</f>
        <v>167</v>
      </c>
      <c r="L1239" s="9">
        <f t="shared" si="20"/>
        <v>1336</v>
      </c>
    </row>
    <row r="1240" spans="1:12" ht="15" customHeight="1" x14ac:dyDescent="0.2">
      <c r="A1240" s="54">
        <v>46223</v>
      </c>
      <c r="F1240" s="7" t="str">
        <f>IFERROR(VLOOKUP(G1240, data!A:B, 2, FALSE), "Tienda")</f>
        <v>SC MACROPLAZA INSURGENTES</v>
      </c>
      <c r="G1240" s="1">
        <v>2023</v>
      </c>
      <c r="H1240" s="2">
        <v>919</v>
      </c>
      <c r="I1240" s="3" t="s">
        <v>10</v>
      </c>
      <c r="J1240" s="4">
        <v>8</v>
      </c>
      <c r="K1240" s="8">
        <f>IFERROR(VLOOKUP(I1240, data!E:F, 2, FALSE), "Precio Unidad")</f>
        <v>151</v>
      </c>
      <c r="L1240" s="9">
        <f t="shared" si="20"/>
        <v>1208</v>
      </c>
    </row>
    <row r="1241" spans="1:12" ht="15" customHeight="1" x14ac:dyDescent="0.2">
      <c r="A1241" s="54">
        <v>46223</v>
      </c>
      <c r="F1241" s="7" t="str">
        <f>IFERROR(VLOOKUP(G1241, data!A:B, 2, FALSE), "Tienda")</f>
        <v>SC MACROPLAZA INSURGENTES</v>
      </c>
      <c r="G1241" s="1">
        <v>2023</v>
      </c>
      <c r="H1241" s="2">
        <v>919</v>
      </c>
      <c r="I1241" s="3" t="s">
        <v>12</v>
      </c>
      <c r="J1241" s="4">
        <v>10</v>
      </c>
      <c r="K1241" s="8">
        <f>IFERROR(VLOOKUP(I1241, data!E:F, 2, FALSE), "Precio Unidad")</f>
        <v>95</v>
      </c>
      <c r="L1241" s="9">
        <f t="shared" si="20"/>
        <v>950</v>
      </c>
    </row>
    <row r="1242" spans="1:12" ht="15" customHeight="1" x14ac:dyDescent="0.2">
      <c r="A1242" s="54">
        <v>46223</v>
      </c>
      <c r="F1242" s="7" t="str">
        <f>IFERROR(VLOOKUP(G1242, data!A:B, 2, FALSE), "Tienda")</f>
        <v>SC MACROPLAZA INSURGENTES</v>
      </c>
      <c r="G1242" s="1">
        <v>2023</v>
      </c>
      <c r="H1242" s="2">
        <v>919</v>
      </c>
      <c r="I1242" s="3" t="s">
        <v>13</v>
      </c>
      <c r="J1242" s="4">
        <v>16</v>
      </c>
      <c r="K1242" s="8">
        <f>IFERROR(VLOOKUP(I1242, data!E:F, 2, FALSE), "Precio Unidad")</f>
        <v>63</v>
      </c>
      <c r="L1242" s="9">
        <f t="shared" si="20"/>
        <v>1008</v>
      </c>
    </row>
    <row r="1243" spans="1:12" ht="15" customHeight="1" x14ac:dyDescent="0.2">
      <c r="A1243" s="54">
        <v>46223</v>
      </c>
      <c r="F1243" s="7" t="str">
        <f>IFERROR(VLOOKUP(G1243, data!A:B, 2, FALSE), "Tienda")</f>
        <v>SC ENSENADA</v>
      </c>
      <c r="G1243" s="1">
        <v>3015</v>
      </c>
      <c r="H1243" s="2">
        <v>920</v>
      </c>
      <c r="I1243" s="3" t="s">
        <v>6</v>
      </c>
      <c r="J1243" s="4">
        <v>4</v>
      </c>
      <c r="K1243" s="8">
        <f>IFERROR(VLOOKUP(I1243, data!E:F, 2, FALSE), "Precio Unidad")</f>
        <v>167</v>
      </c>
      <c r="L1243" s="9">
        <f t="shared" si="20"/>
        <v>668</v>
      </c>
    </row>
    <row r="1244" spans="1:12" ht="15" customHeight="1" x14ac:dyDescent="0.2">
      <c r="A1244" s="54">
        <v>46223</v>
      </c>
      <c r="F1244" s="7" t="str">
        <f>IFERROR(VLOOKUP(G1244, data!A:B, 2, FALSE), "Tienda")</f>
        <v>SC ENSENADA</v>
      </c>
      <c r="G1244" s="1">
        <v>3015</v>
      </c>
      <c r="H1244" s="2">
        <v>920</v>
      </c>
      <c r="I1244" s="3" t="s">
        <v>7</v>
      </c>
      <c r="J1244" s="4">
        <v>6</v>
      </c>
      <c r="K1244" s="8">
        <f>IFERROR(VLOOKUP(I1244, data!E:F, 2, FALSE), "Precio Unidad")</f>
        <v>113</v>
      </c>
      <c r="L1244" s="9">
        <f t="shared" si="20"/>
        <v>678</v>
      </c>
    </row>
    <row r="1245" spans="1:12" ht="15" customHeight="1" x14ac:dyDescent="0.2">
      <c r="A1245" s="54">
        <v>46223</v>
      </c>
      <c r="F1245" s="7" t="str">
        <f>IFERROR(VLOOKUP(G1245, data!A:B, 2, FALSE), "Tienda")</f>
        <v>SC ENSENADA</v>
      </c>
      <c r="G1245" s="1">
        <v>3015</v>
      </c>
      <c r="H1245" s="2">
        <v>920</v>
      </c>
      <c r="I1245" s="3" t="s">
        <v>10</v>
      </c>
      <c r="J1245" s="4">
        <v>8</v>
      </c>
      <c r="K1245" s="8">
        <f>IFERROR(VLOOKUP(I1245, data!E:F, 2, FALSE), "Precio Unidad")</f>
        <v>151</v>
      </c>
      <c r="L1245" s="9">
        <f t="shared" si="20"/>
        <v>1208</v>
      </c>
    </row>
    <row r="1246" spans="1:12" ht="15" customHeight="1" x14ac:dyDescent="0.2">
      <c r="A1246" s="54">
        <v>46223</v>
      </c>
      <c r="F1246" s="7" t="str">
        <f>IFERROR(VLOOKUP(G1246, data!A:B, 2, FALSE), "Tienda")</f>
        <v>SC ENSENADA</v>
      </c>
      <c r="G1246" s="1">
        <v>3015</v>
      </c>
      <c r="H1246" s="2">
        <v>920</v>
      </c>
      <c r="I1246" s="3" t="s">
        <v>12</v>
      </c>
      <c r="J1246" s="4">
        <v>10</v>
      </c>
      <c r="K1246" s="8">
        <f>IFERROR(VLOOKUP(I1246, data!E:F, 2, FALSE), "Precio Unidad")</f>
        <v>95</v>
      </c>
      <c r="L1246" s="9">
        <f t="shared" si="20"/>
        <v>950</v>
      </c>
    </row>
    <row r="1247" spans="1:12" ht="15" customHeight="1" x14ac:dyDescent="0.2">
      <c r="A1247" s="54">
        <v>46223</v>
      </c>
      <c r="F1247" s="7" t="str">
        <f>IFERROR(VLOOKUP(G1247, data!A:B, 2, FALSE), "Tienda")</f>
        <v>SC ENSENADA</v>
      </c>
      <c r="G1247" s="1">
        <v>3015</v>
      </c>
      <c r="H1247" s="2">
        <v>920</v>
      </c>
      <c r="I1247" s="3" t="s">
        <v>13</v>
      </c>
      <c r="J1247" s="4">
        <v>16</v>
      </c>
      <c r="K1247" s="8">
        <f>IFERROR(VLOOKUP(I1247, data!E:F, 2, FALSE), "Precio Unidad")</f>
        <v>63</v>
      </c>
      <c r="L1247" s="9">
        <f t="shared" si="20"/>
        <v>1008</v>
      </c>
    </row>
    <row r="1248" spans="1:12" ht="15" customHeight="1" x14ac:dyDescent="0.2">
      <c r="A1248" s="54">
        <v>46223</v>
      </c>
      <c r="F1248" s="7" t="str">
        <f>IFERROR(VLOOKUP(G1248, data!A:B, 2, FALSE), "Tienda")</f>
        <v>SC ENSENADA CENTRO</v>
      </c>
      <c r="G1248" s="1">
        <v>2947</v>
      </c>
      <c r="H1248" s="2">
        <v>921</v>
      </c>
      <c r="I1248" s="3" t="s">
        <v>10</v>
      </c>
      <c r="J1248" s="4">
        <v>8</v>
      </c>
      <c r="K1248" s="8">
        <f>IFERROR(VLOOKUP(I1248, data!E:F, 2, FALSE), "Precio Unidad")</f>
        <v>151</v>
      </c>
      <c r="L1248" s="9">
        <f t="shared" si="20"/>
        <v>1208</v>
      </c>
    </row>
    <row r="1249" spans="1:12" ht="15" customHeight="1" x14ac:dyDescent="0.2">
      <c r="A1249" s="54">
        <v>46223</v>
      </c>
      <c r="F1249" s="7" t="str">
        <f>IFERROR(VLOOKUP(G1249, data!A:B, 2, FALSE), "Tienda")</f>
        <v>SC ENSENADA CENTRO</v>
      </c>
      <c r="G1249" s="1">
        <v>2947</v>
      </c>
      <c r="H1249" s="2">
        <v>921</v>
      </c>
      <c r="I1249" s="3" t="s">
        <v>12</v>
      </c>
      <c r="J1249" s="4">
        <v>10</v>
      </c>
      <c r="K1249" s="8">
        <f>IFERROR(VLOOKUP(I1249, data!E:F, 2, FALSE), "Precio Unidad")</f>
        <v>95</v>
      </c>
      <c r="L1249" s="9">
        <f t="shared" si="20"/>
        <v>950</v>
      </c>
    </row>
    <row r="1250" spans="1:12" ht="15" customHeight="1" x14ac:dyDescent="0.2">
      <c r="A1250" s="54">
        <v>46223</v>
      </c>
      <c r="F1250" s="7" t="str">
        <f>IFERROR(VLOOKUP(G1250, data!A:B, 2, FALSE), "Tienda")</f>
        <v>SC ENSENADA CENTRO</v>
      </c>
      <c r="G1250" s="1">
        <v>2947</v>
      </c>
      <c r="H1250" s="2">
        <v>921</v>
      </c>
      <c r="I1250" s="3" t="s">
        <v>13</v>
      </c>
      <c r="J1250" s="4">
        <v>16</v>
      </c>
      <c r="K1250" s="8">
        <f>IFERROR(VLOOKUP(I1250, data!E:F, 2, FALSE), "Precio Unidad")</f>
        <v>63</v>
      </c>
      <c r="L1250" s="9">
        <f t="shared" si="20"/>
        <v>1008</v>
      </c>
    </row>
  </sheetData>
  <autoFilter ref="A1:L1024" xr:uid="{00000000-0009-0000-0000-000000000000}"/>
  <dataConsolidate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opLeftCell="E1" workbookViewId="0">
      <selection activeCell="K24" sqref="K24"/>
    </sheetView>
  </sheetViews>
  <sheetFormatPr baseColWidth="10" defaultRowHeight="15" x14ac:dyDescent="0.25"/>
  <cols>
    <col min="1" max="1" width="10.42578125" style="30" customWidth="1"/>
    <col min="2" max="2" width="34.5703125" style="30" bestFit="1" customWidth="1"/>
    <col min="3" max="3" width="34.5703125" style="30" customWidth="1"/>
    <col min="4" max="4" width="11.42578125" style="30"/>
    <col min="5" max="5" width="37.42578125" style="31" bestFit="1" customWidth="1"/>
    <col min="6" max="6" width="16.7109375" style="30" bestFit="1" customWidth="1"/>
    <col min="7" max="7" width="11.42578125" style="30"/>
    <col min="8" max="8" width="37.42578125" style="31" bestFit="1" customWidth="1"/>
    <col min="9" max="9" width="20.28515625" style="30" bestFit="1" customWidth="1"/>
    <col min="10" max="10" width="11.42578125" style="30"/>
    <col min="11" max="11" width="32.7109375" style="30" bestFit="1" customWidth="1"/>
    <col min="12" max="12" width="12.28515625" style="30" bestFit="1" customWidth="1"/>
    <col min="13" max="16384" width="11.42578125" style="30"/>
  </cols>
  <sheetData>
    <row r="1" spans="1:12" ht="18.75" x14ac:dyDescent="0.3">
      <c r="A1" s="37" t="s">
        <v>44</v>
      </c>
      <c r="B1" s="38" t="s">
        <v>45</v>
      </c>
      <c r="C1" s="39" t="s">
        <v>39</v>
      </c>
      <c r="E1" s="44" t="s">
        <v>26</v>
      </c>
      <c r="F1" s="44" t="s">
        <v>3</v>
      </c>
      <c r="H1" s="44" t="s">
        <v>26</v>
      </c>
      <c r="I1" s="44" t="s">
        <v>29</v>
      </c>
      <c r="K1" s="44" t="s">
        <v>26</v>
      </c>
      <c r="L1" s="44" t="s">
        <v>46</v>
      </c>
    </row>
    <row r="2" spans="1:12" ht="15.75" x14ac:dyDescent="0.25">
      <c r="A2" s="27">
        <v>190</v>
      </c>
      <c r="B2" s="28" t="s">
        <v>5</v>
      </c>
      <c r="C2" s="29" t="s">
        <v>51</v>
      </c>
      <c r="E2" s="40" t="s">
        <v>27</v>
      </c>
      <c r="F2" s="41">
        <v>148</v>
      </c>
      <c r="H2" s="52" t="s">
        <v>27</v>
      </c>
      <c r="I2" s="41">
        <v>113.03</v>
      </c>
      <c r="K2" s="40" t="s">
        <v>27</v>
      </c>
      <c r="L2" s="41">
        <v>20</v>
      </c>
    </row>
    <row r="3" spans="1:12" ht="15.75" x14ac:dyDescent="0.25">
      <c r="A3" s="27">
        <v>2947</v>
      </c>
      <c r="B3" s="28" t="s">
        <v>16</v>
      </c>
      <c r="C3" s="29" t="s">
        <v>50</v>
      </c>
      <c r="E3" s="40" t="s">
        <v>28</v>
      </c>
      <c r="F3" s="41">
        <v>90</v>
      </c>
      <c r="H3" s="52" t="s">
        <v>28</v>
      </c>
      <c r="I3" s="41">
        <v>65.989999999999995</v>
      </c>
      <c r="K3" s="40" t="s">
        <v>28</v>
      </c>
      <c r="L3" s="41">
        <v>15</v>
      </c>
    </row>
    <row r="4" spans="1:12" ht="15.75" x14ac:dyDescent="0.25">
      <c r="A4" s="27">
        <v>3015</v>
      </c>
      <c r="B4" s="28" t="s">
        <v>17</v>
      </c>
      <c r="C4" s="29" t="s">
        <v>50</v>
      </c>
      <c r="E4" s="40" t="s">
        <v>6</v>
      </c>
      <c r="F4" s="41">
        <v>167</v>
      </c>
      <c r="H4" s="52" t="s">
        <v>6</v>
      </c>
      <c r="I4" s="41">
        <v>145</v>
      </c>
      <c r="K4" s="40" t="s">
        <v>6</v>
      </c>
      <c r="L4" s="41">
        <v>20</v>
      </c>
    </row>
    <row r="5" spans="1:12" ht="15.75" x14ac:dyDescent="0.25">
      <c r="A5" s="27">
        <v>4187</v>
      </c>
      <c r="B5" s="28" t="s">
        <v>18</v>
      </c>
      <c r="C5" s="29" t="s">
        <v>51</v>
      </c>
      <c r="E5" s="40" t="s">
        <v>7</v>
      </c>
      <c r="F5" s="41">
        <v>113</v>
      </c>
      <c r="H5" s="52" t="s">
        <v>7</v>
      </c>
      <c r="I5" s="41">
        <v>96</v>
      </c>
      <c r="K5" s="40" t="s">
        <v>7</v>
      </c>
      <c r="L5" s="41">
        <v>15</v>
      </c>
    </row>
    <row r="6" spans="1:12" ht="15.75" x14ac:dyDescent="0.25">
      <c r="A6" s="27">
        <v>1613</v>
      </c>
      <c r="B6" s="28" t="s">
        <v>19</v>
      </c>
      <c r="C6" s="29" t="s">
        <v>51</v>
      </c>
      <c r="E6" s="40" t="s">
        <v>8</v>
      </c>
      <c r="F6" s="41">
        <v>79</v>
      </c>
      <c r="H6" s="52" t="s">
        <v>8</v>
      </c>
      <c r="I6" s="41">
        <v>51.79</v>
      </c>
      <c r="K6" s="40" t="s">
        <v>8</v>
      </c>
      <c r="L6" s="41">
        <v>15</v>
      </c>
    </row>
    <row r="7" spans="1:12" ht="15.75" x14ac:dyDescent="0.25">
      <c r="A7" s="27">
        <v>2023</v>
      </c>
      <c r="B7" s="28" t="s">
        <v>20</v>
      </c>
      <c r="C7" s="29" t="s">
        <v>49</v>
      </c>
      <c r="E7" s="40" t="s">
        <v>15</v>
      </c>
      <c r="F7" s="41">
        <v>83</v>
      </c>
      <c r="H7" s="52" t="s">
        <v>15</v>
      </c>
      <c r="I7" s="41">
        <v>54.86</v>
      </c>
      <c r="K7" s="40" t="s">
        <v>15</v>
      </c>
      <c r="L7" s="41">
        <v>15</v>
      </c>
    </row>
    <row r="8" spans="1:12" ht="15.75" x14ac:dyDescent="0.25">
      <c r="A8" s="27">
        <v>3664</v>
      </c>
      <c r="B8" s="28" t="s">
        <v>21</v>
      </c>
      <c r="C8" s="29" t="s">
        <v>49</v>
      </c>
      <c r="E8" s="40" t="s">
        <v>14</v>
      </c>
      <c r="F8" s="41">
        <v>140</v>
      </c>
      <c r="H8" s="52" t="s">
        <v>14</v>
      </c>
      <c r="I8" s="41">
        <v>104</v>
      </c>
      <c r="K8" s="40" t="s">
        <v>14</v>
      </c>
      <c r="L8" s="41">
        <v>15</v>
      </c>
    </row>
    <row r="9" spans="1:12" ht="15.75" x14ac:dyDescent="0.25">
      <c r="A9" s="27">
        <v>4011</v>
      </c>
      <c r="B9" s="28" t="s">
        <v>22</v>
      </c>
      <c r="C9" s="29" t="s">
        <v>49</v>
      </c>
      <c r="E9" s="40" t="s">
        <v>9</v>
      </c>
      <c r="F9" s="41">
        <v>58</v>
      </c>
      <c r="H9" s="52" t="s">
        <v>9</v>
      </c>
      <c r="I9" s="41">
        <v>39</v>
      </c>
      <c r="K9" s="40" t="s">
        <v>9</v>
      </c>
      <c r="L9" s="41">
        <v>10</v>
      </c>
    </row>
    <row r="10" spans="1:12" ht="15.75" x14ac:dyDescent="0.25">
      <c r="A10" s="27">
        <v>1616</v>
      </c>
      <c r="B10" s="28" t="s">
        <v>23</v>
      </c>
      <c r="C10" s="29" t="s">
        <v>51</v>
      </c>
      <c r="E10" s="40" t="s">
        <v>13</v>
      </c>
      <c r="F10" s="41">
        <v>63</v>
      </c>
      <c r="H10" s="52" t="s">
        <v>13</v>
      </c>
      <c r="I10" s="41">
        <v>42.71</v>
      </c>
      <c r="K10" s="40" t="s">
        <v>13</v>
      </c>
      <c r="L10" s="41">
        <v>10</v>
      </c>
    </row>
    <row r="11" spans="1:12" ht="15.75" x14ac:dyDescent="0.25">
      <c r="A11" s="27">
        <v>4155</v>
      </c>
      <c r="B11" s="28" t="s">
        <v>24</v>
      </c>
      <c r="C11" s="29" t="s">
        <v>49</v>
      </c>
      <c r="E11" s="40" t="s">
        <v>11</v>
      </c>
      <c r="F11" s="41">
        <v>177</v>
      </c>
      <c r="H11" s="52" t="s">
        <v>11</v>
      </c>
      <c r="I11" s="41">
        <v>130</v>
      </c>
      <c r="K11" s="40" t="s">
        <v>11</v>
      </c>
      <c r="L11" s="41">
        <v>23</v>
      </c>
    </row>
    <row r="12" spans="1:12" ht="15.75" x14ac:dyDescent="0.25">
      <c r="A12" s="27">
        <v>1617</v>
      </c>
      <c r="B12" s="28" t="s">
        <v>33</v>
      </c>
      <c r="C12" s="29" t="s">
        <v>48</v>
      </c>
      <c r="E12" s="40" t="s">
        <v>10</v>
      </c>
      <c r="F12" s="41">
        <v>151</v>
      </c>
      <c r="H12" s="52" t="s">
        <v>10</v>
      </c>
      <c r="I12" s="41">
        <v>105</v>
      </c>
      <c r="K12" s="40" t="s">
        <v>10</v>
      </c>
      <c r="L12" s="41">
        <v>23</v>
      </c>
    </row>
    <row r="13" spans="1:12" ht="15.75" x14ac:dyDescent="0.25">
      <c r="A13" s="27">
        <v>1140</v>
      </c>
      <c r="B13" s="28" t="s">
        <v>34</v>
      </c>
      <c r="C13" s="29" t="s">
        <v>48</v>
      </c>
      <c r="E13" s="40" t="s">
        <v>12</v>
      </c>
      <c r="F13" s="41">
        <v>95</v>
      </c>
      <c r="H13" s="52" t="s">
        <v>12</v>
      </c>
      <c r="I13" s="41">
        <v>70</v>
      </c>
      <c r="K13" s="40" t="s">
        <v>12</v>
      </c>
      <c r="L13" s="41">
        <v>15</v>
      </c>
    </row>
    <row r="14" spans="1:12" ht="15.75" x14ac:dyDescent="0.25">
      <c r="A14" s="27">
        <v>4026</v>
      </c>
      <c r="B14" s="28" t="s">
        <v>35</v>
      </c>
      <c r="C14" s="29" t="s">
        <v>52</v>
      </c>
      <c r="E14" s="42" t="s">
        <v>40</v>
      </c>
      <c r="F14" s="41">
        <v>234</v>
      </c>
      <c r="H14" s="42" t="s">
        <v>40</v>
      </c>
      <c r="I14" s="41">
        <v>223.53</v>
      </c>
      <c r="K14" s="42" t="s">
        <v>40</v>
      </c>
      <c r="L14" s="41">
        <v>10</v>
      </c>
    </row>
    <row r="15" spans="1:12" ht="15.75" x14ac:dyDescent="0.25">
      <c r="A15" s="27">
        <v>2304</v>
      </c>
      <c r="B15" s="28" t="s">
        <v>36</v>
      </c>
      <c r="C15" s="29" t="s">
        <v>52</v>
      </c>
      <c r="E15" s="42" t="s">
        <v>41</v>
      </c>
      <c r="F15" s="41">
        <v>229</v>
      </c>
      <c r="H15" s="42" t="s">
        <v>41</v>
      </c>
      <c r="I15" s="41">
        <v>218.75</v>
      </c>
      <c r="K15" s="42" t="s">
        <v>41</v>
      </c>
      <c r="L15" s="41">
        <v>10</v>
      </c>
    </row>
    <row r="16" spans="1:12" ht="15.75" x14ac:dyDescent="0.25">
      <c r="A16" s="27">
        <v>5295</v>
      </c>
      <c r="B16" s="28" t="s">
        <v>37</v>
      </c>
      <c r="C16" s="29" t="s">
        <v>52</v>
      </c>
      <c r="E16" s="40" t="s">
        <v>42</v>
      </c>
      <c r="F16" s="41">
        <v>128</v>
      </c>
      <c r="H16" s="52" t="s">
        <v>42</v>
      </c>
      <c r="I16" s="41">
        <v>117.65</v>
      </c>
      <c r="K16" s="40" t="s">
        <v>42</v>
      </c>
      <c r="L16" s="41">
        <v>10</v>
      </c>
    </row>
    <row r="17" spans="1:12" ht="15.75" x14ac:dyDescent="0.25">
      <c r="A17" s="27">
        <v>5041</v>
      </c>
      <c r="B17" s="28" t="s">
        <v>38</v>
      </c>
      <c r="C17" s="29" t="s">
        <v>48</v>
      </c>
      <c r="E17" s="40" t="s">
        <v>43</v>
      </c>
      <c r="F17" s="41">
        <v>445</v>
      </c>
      <c r="H17" s="52" t="s">
        <v>43</v>
      </c>
      <c r="I17" s="41">
        <v>432.35</v>
      </c>
      <c r="K17" s="40" t="s">
        <v>43</v>
      </c>
      <c r="L17" s="41">
        <v>10</v>
      </c>
    </row>
    <row r="18" spans="1:12" x14ac:dyDescent="0.25">
      <c r="E18" s="40" t="s">
        <v>53</v>
      </c>
      <c r="F18" s="41">
        <v>182</v>
      </c>
      <c r="H18" s="53" t="s">
        <v>53</v>
      </c>
      <c r="I18" s="41"/>
    </row>
    <row r="19" spans="1:12" ht="15.75" x14ac:dyDescent="0.25">
      <c r="A19" s="33"/>
      <c r="B19" s="34"/>
      <c r="C19" s="35"/>
      <c r="E19" s="40" t="s">
        <v>57</v>
      </c>
      <c r="F19" s="41">
        <v>307</v>
      </c>
      <c r="H19" s="53" t="s">
        <v>54</v>
      </c>
      <c r="I19" s="41"/>
      <c r="K19" s="36"/>
      <c r="L19" s="32"/>
    </row>
    <row r="20" spans="1:12" ht="15.75" x14ac:dyDescent="0.25">
      <c r="A20" s="33"/>
      <c r="B20" s="34"/>
      <c r="C20" s="35"/>
      <c r="E20" s="43" t="s">
        <v>54</v>
      </c>
      <c r="F20" s="41">
        <v>175</v>
      </c>
      <c r="H20" s="53" t="s">
        <v>55</v>
      </c>
      <c r="I20" s="51"/>
      <c r="J20" s="32"/>
    </row>
    <row r="21" spans="1:12" ht="15.75" x14ac:dyDescent="0.25">
      <c r="A21" s="33"/>
      <c r="B21" s="34"/>
      <c r="C21" s="35"/>
      <c r="E21" s="43" t="s">
        <v>55</v>
      </c>
      <c r="F21" s="41">
        <v>393</v>
      </c>
      <c r="H21" s="53" t="s">
        <v>56</v>
      </c>
      <c r="I21" s="51"/>
      <c r="J21" s="32"/>
    </row>
    <row r="22" spans="1:12" ht="15.75" x14ac:dyDescent="0.25">
      <c r="A22" s="33"/>
      <c r="B22" s="34"/>
      <c r="C22" s="35"/>
      <c r="E22" s="43" t="s">
        <v>56</v>
      </c>
      <c r="F22" s="41">
        <v>265</v>
      </c>
      <c r="H22" s="53" t="s">
        <v>57</v>
      </c>
      <c r="I22" s="51"/>
      <c r="J22" s="32"/>
    </row>
    <row r="23" spans="1:12" ht="15.75" x14ac:dyDescent="0.25">
      <c r="A23" s="33"/>
      <c r="B23" s="34"/>
      <c r="C23" s="35"/>
      <c r="E23" s="30"/>
      <c r="F23" s="31"/>
      <c r="H23" s="30"/>
      <c r="I23" s="36"/>
      <c r="J23" s="32"/>
    </row>
    <row r="24" spans="1:12" ht="15.75" x14ac:dyDescent="0.25">
      <c r="A24" s="33"/>
      <c r="B24" s="34"/>
      <c r="C24" s="35"/>
      <c r="E24" s="30"/>
      <c r="F24" s="31"/>
      <c r="H24" s="30"/>
      <c r="I24" s="36"/>
      <c r="J24" s="32"/>
    </row>
    <row r="25" spans="1:12" ht="15.75" x14ac:dyDescent="0.25">
      <c r="A25" s="33"/>
      <c r="B25" s="34"/>
      <c r="C25" s="35"/>
      <c r="E25" s="30"/>
      <c r="F25" s="31"/>
      <c r="H25" s="30"/>
      <c r="I25" s="36"/>
      <c r="J25" s="32"/>
    </row>
    <row r="26" spans="1:12" ht="15.75" x14ac:dyDescent="0.25">
      <c r="A26" s="33"/>
      <c r="B26" s="34"/>
      <c r="C26" s="35"/>
      <c r="E26" s="30"/>
      <c r="F26" s="31"/>
      <c r="H26" s="30"/>
      <c r="I26" s="36"/>
      <c r="J26" s="32"/>
    </row>
    <row r="27" spans="1:12" ht="15.75" x14ac:dyDescent="0.25">
      <c r="A27" s="33"/>
      <c r="B27" s="34"/>
      <c r="C27" s="35"/>
      <c r="E27" s="30"/>
      <c r="F27" s="31"/>
      <c r="H27" s="30"/>
      <c r="I27" s="36"/>
      <c r="J27" s="32"/>
    </row>
    <row r="28" spans="1:12" ht="15.75" x14ac:dyDescent="0.25">
      <c r="A28" s="33"/>
      <c r="B28" s="34"/>
      <c r="C28" s="35"/>
      <c r="E28" s="30"/>
      <c r="F28" s="31"/>
      <c r="H28" s="30"/>
      <c r="I28" s="36"/>
      <c r="J28" s="32"/>
    </row>
    <row r="29" spans="1:12" ht="15.75" x14ac:dyDescent="0.25">
      <c r="A29" s="33"/>
      <c r="B29" s="34"/>
      <c r="C29" s="35"/>
      <c r="E29" s="30"/>
      <c r="F29" s="31"/>
      <c r="H29" s="30"/>
      <c r="I29" s="36"/>
      <c r="J29" s="32"/>
    </row>
    <row r="30" spans="1:12" ht="15.75" x14ac:dyDescent="0.25">
      <c r="A30" s="33"/>
      <c r="B30" s="34"/>
      <c r="C30" s="35"/>
      <c r="E30" s="30"/>
      <c r="F30" s="31"/>
      <c r="H30" s="30"/>
      <c r="I30" s="36"/>
      <c r="J30" s="32"/>
    </row>
    <row r="31" spans="1:12" ht="15.75" x14ac:dyDescent="0.25">
      <c r="A31" s="33"/>
      <c r="B31" s="34"/>
      <c r="C31" s="35"/>
      <c r="E31" s="30"/>
      <c r="F31" s="31"/>
      <c r="H31" s="30"/>
      <c r="I31" s="36"/>
      <c r="J31" s="32"/>
    </row>
    <row r="32" spans="1:12" ht="15.75" x14ac:dyDescent="0.25">
      <c r="A32" s="33"/>
      <c r="B32" s="34"/>
      <c r="C32" s="35"/>
      <c r="E32" s="30"/>
      <c r="F32" s="31"/>
      <c r="H32" s="30"/>
    </row>
    <row r="33" spans="1:8" ht="15.75" x14ac:dyDescent="0.25">
      <c r="A33" s="33"/>
      <c r="B33" s="34"/>
      <c r="C33" s="35"/>
      <c r="E33" s="30"/>
      <c r="F33" s="31"/>
      <c r="H33" s="30"/>
    </row>
    <row r="34" spans="1:8" ht="15.75" x14ac:dyDescent="0.25">
      <c r="A34" s="33"/>
      <c r="B34" s="34"/>
      <c r="C34" s="35"/>
      <c r="E34" s="30"/>
      <c r="F34" s="31"/>
      <c r="H34" s="30"/>
    </row>
    <row r="35" spans="1:8" x14ac:dyDescent="0.25">
      <c r="C35" s="31"/>
      <c r="E35" s="30"/>
      <c r="F35" s="31"/>
      <c r="H35" s="30"/>
    </row>
    <row r="36" spans="1:8" x14ac:dyDescent="0.25">
      <c r="C36" s="31"/>
      <c r="E36" s="30"/>
      <c r="F36" s="31"/>
      <c r="H36" s="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Jesus Lopez Sandoval</cp:lastModifiedBy>
  <cp:lastPrinted>2026-05-19T16:27:15Z</cp:lastPrinted>
  <dcterms:created xsi:type="dcterms:W3CDTF">2026-02-25T16:33:29Z</dcterms:created>
  <dcterms:modified xsi:type="dcterms:W3CDTF">2026-07-21T14:20:10Z</dcterms:modified>
</cp:coreProperties>
</file>